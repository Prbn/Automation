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Bausch Call Planning\Tools\VBA SQL to EXCEL\"/>
    </mc:Choice>
  </mc:AlternateContent>
  <workbookProtection workbookAlgorithmName="SHA-512" workbookHashValue="n+qS6uKplClG64oag6Cd0o30TGqncaFqYpTirJ0ysJ230rPCj/n5oAajLTLqidKOc6DY2D3a5GvOhyLHFLKDCg==" workbookSaltValue="BWSlZBksfPOh4xkkLBuOKw==" workbookSpinCount="100000" lockStructure="1"/>
  <bookViews>
    <workbookView xWindow="9648" yWindow="780" windowWidth="16476" windowHeight="8316" tabRatio="730"/>
  </bookViews>
  <sheets>
    <sheet name="_Control_" sheetId="21" r:id="rId1"/>
    <sheet name="Segment Diagnostics2" sheetId="12" state="hidden" r:id="rId2"/>
  </sheets>
  <definedNames>
    <definedName name="Ancor">_Control_!$B$8</definedName>
    <definedName name="CQ_Prod_Calls1">#REF!</definedName>
    <definedName name="CQ_Prod_Tgts1">#REF!</definedName>
    <definedName name="DBName">_Control_!$C$4</definedName>
    <definedName name="Disruption_report_1">#REF!</definedName>
    <definedName name="DR_Add_Pivot">#REF!</definedName>
    <definedName name="DR_Dropped_Pivot">#REF!</definedName>
    <definedName name="New_tabble">#REF!</definedName>
    <definedName name="New_table">#REF!</definedName>
    <definedName name="Overall_CP">#REF!</definedName>
    <definedName name="PQ_Prod_Calls1">#REF!</definedName>
    <definedName name="PQ_Prod_Tgts1">#REF!</definedName>
    <definedName name="_xlnm.Print_Area" localSheetId="0">_Control_!$A$1:$K$114</definedName>
    <definedName name="QUICK_MODE">_Control_!$H$2</definedName>
    <definedName name="SQLServerName">_Control_!$C$3</definedName>
    <definedName name="Terr_Data1">#REF!</definedName>
    <definedName name="Test_cell1">#REF!</definedName>
    <definedName name="Test_Range2">#REF!</definedName>
    <definedName name="testt">#REF!</definedName>
    <definedName name="WB_Name">_Control_!$C$5</definedName>
    <definedName name="Z_6FFAB0EA_95EC_4C9A_83AA_FD15748D7B98_.wvu.PrintArea" localSheetId="0" hidden="1">_Control_!$A$1:$K$114</definedName>
  </definedNames>
  <calcPr calcId="162913"/>
  <customWorkbookViews>
    <customWorkbookView name="Control" guid="{6FFAB0EA-95EC-4C9A-83AA-FD15748D7B98}" includeHiddenRowCol="0" maximized="1" windowWidth="2396" windowHeight="943" tabRatio="730" activeSheetId="21"/>
  </customWorkbookViews>
</workbook>
</file>

<file path=xl/calcChain.xml><?xml version="1.0" encoding="utf-8"?>
<calcChain xmlns="http://schemas.openxmlformats.org/spreadsheetml/2006/main">
  <c r="S10" i="12" l="1"/>
  <c r="S5" i="12"/>
  <c r="S6" i="12"/>
  <c r="S7" i="12"/>
  <c r="S8" i="12"/>
  <c r="S9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</calcChain>
</file>

<file path=xl/sharedStrings.xml><?xml version="1.0" encoding="utf-8"?>
<sst xmlns="http://schemas.openxmlformats.org/spreadsheetml/2006/main" count="977" uniqueCount="179">
  <si>
    <t>Targets</t>
  </si>
  <si>
    <t>Q4 2020 Call Plan</t>
  </si>
  <si>
    <t>Universe</t>
  </si>
  <si>
    <t>Reach%</t>
  </si>
  <si>
    <t>PDEs</t>
  </si>
  <si>
    <t>Total HCPs</t>
  </si>
  <si>
    <t>Avg Pdes</t>
  </si>
  <si>
    <t>Avg PDes</t>
  </si>
  <si>
    <t>OPH</t>
  </si>
  <si>
    <t>OPH_2</t>
  </si>
  <si>
    <t>OPH_3</t>
  </si>
  <si>
    <t>OPH 0</t>
  </si>
  <si>
    <t>OPH 1</t>
  </si>
  <si>
    <t>OPH_5</t>
  </si>
  <si>
    <t>OPH_9</t>
  </si>
  <si>
    <t>OPH_1</t>
  </si>
  <si>
    <t>OPH 6</t>
  </si>
  <si>
    <t>OPH 3</t>
  </si>
  <si>
    <t>OPH 2</t>
  </si>
  <si>
    <t>OPH_4</t>
  </si>
  <si>
    <t>OPT</t>
  </si>
  <si>
    <t>OPT_1</t>
  </si>
  <si>
    <t>OPT 4</t>
  </si>
  <si>
    <t>OPT_2</t>
  </si>
  <si>
    <t>OPT 9</t>
  </si>
  <si>
    <t>OPT 6</t>
  </si>
  <si>
    <t>OPT_0</t>
  </si>
  <si>
    <t>OPT 5</t>
  </si>
  <si>
    <t>OPH_10</t>
  </si>
  <si>
    <t>OPT 3</t>
  </si>
  <si>
    <t>OPH_8</t>
  </si>
  <si>
    <t>OPH 7</t>
  </si>
  <si>
    <t>OPH_7</t>
  </si>
  <si>
    <t>OPH_6</t>
  </si>
  <si>
    <t>OPH 5</t>
  </si>
  <si>
    <t>OPT_3</t>
  </si>
  <si>
    <t>OPT_8</t>
  </si>
  <si>
    <t>OPT 1</t>
  </si>
  <si>
    <t>OPH 9</t>
  </si>
  <si>
    <t>OPH 4</t>
  </si>
  <si>
    <t>OPH_0</t>
  </si>
  <si>
    <t>OPT 2</t>
  </si>
  <si>
    <t>OPH 10</t>
  </si>
  <si>
    <t>A_0</t>
  </si>
  <si>
    <t>A_1</t>
  </si>
  <si>
    <t>A 7</t>
  </si>
  <si>
    <t>OPT 7</t>
  </si>
  <si>
    <t>OPT 8</t>
  </si>
  <si>
    <t>A 6</t>
  </si>
  <si>
    <t>OPT 0</t>
  </si>
  <si>
    <t>OPH 8</t>
  </si>
  <si>
    <t>A 5</t>
  </si>
  <si>
    <t>A 8</t>
  </si>
  <si>
    <t>OPT_4</t>
  </si>
  <si>
    <t>A 3</t>
  </si>
  <si>
    <t>A 4</t>
  </si>
  <si>
    <t>OPT_5</t>
  </si>
  <si>
    <t>OPT_6</t>
  </si>
  <si>
    <t>OPT_7</t>
  </si>
  <si>
    <t>OPT_9</t>
  </si>
  <si>
    <t>A 0</t>
  </si>
  <si>
    <t>A 1</t>
  </si>
  <si>
    <t>A 2</t>
  </si>
  <si>
    <t>A 9</t>
  </si>
  <si>
    <t>OPT 10</t>
  </si>
  <si>
    <t>OPT_10</t>
  </si>
  <si>
    <t>A_2</t>
  </si>
  <si>
    <t>Prolensa Segment Summary</t>
  </si>
  <si>
    <t>Prolensa Segment</t>
  </si>
  <si>
    <t>Allergy Segment</t>
  </si>
  <si>
    <t>Lotemax Segment Summary</t>
  </si>
  <si>
    <t>Lotemax Segment</t>
  </si>
  <si>
    <t>Allergy Segment Summary</t>
  </si>
  <si>
    <t>Q1 2021 Call Plan</t>
  </si>
  <si>
    <t>OPH_4_Suspension users</t>
  </si>
  <si>
    <t>OPH_4_High Potential PostOps Targets</t>
  </si>
  <si>
    <t>OPH_1_High Lotemax PostOps Users</t>
  </si>
  <si>
    <t>OPT_1_Non-Targets</t>
  </si>
  <si>
    <t>OPT_2_High Lotemax OSD Users</t>
  </si>
  <si>
    <t>OPT_2_Non-Targets</t>
  </si>
  <si>
    <t>OPH_1_Non-Targets</t>
  </si>
  <si>
    <t>OPH_2_Non-Targets</t>
  </si>
  <si>
    <t>OPH_3_High Potential PostOps Targets</t>
  </si>
  <si>
    <t>A_0_NA</t>
  </si>
  <si>
    <t>OPH_2_Suspension users</t>
  </si>
  <si>
    <t>OPH_5_Non-Targets</t>
  </si>
  <si>
    <t>OPH_3_Non-Targets</t>
  </si>
  <si>
    <t>OPH_2_High Lotemax PostOps Users</t>
  </si>
  <si>
    <t>OPH_1_Suspension users</t>
  </si>
  <si>
    <t>OPT_3_Non-Targets</t>
  </si>
  <si>
    <t>OPT_3_Suspension users</t>
  </si>
  <si>
    <t>A_1_NA</t>
  </si>
  <si>
    <t>OPH_4_Portfolio Cataract Synergy Targets</t>
  </si>
  <si>
    <t>OPH_4_High Lotemax PostOps Users</t>
  </si>
  <si>
    <t>OPH_3_High Lotemax PostOps Users</t>
  </si>
  <si>
    <t>OPH_2_High Lotemax OSD Users</t>
  </si>
  <si>
    <t>OPH_2_Portfolio Cataract Synergy Targets</t>
  </si>
  <si>
    <t>OPH_5_Suspension users</t>
  </si>
  <si>
    <t>A_1_Non-Targets</t>
  </si>
  <si>
    <t>OPH_4_High Lotemax OSD Users</t>
  </si>
  <si>
    <t>OPT_1_High Lotemax OSD Users</t>
  </si>
  <si>
    <t>OPT_4_High Lotemax PostOps Users</t>
  </si>
  <si>
    <t>OPH_5_Portfolio Cataract Synergy Targets</t>
  </si>
  <si>
    <t>OPH_2_High Potential PostOps Targets</t>
  </si>
  <si>
    <t>OPH_3_Portfolio Cataract Synergy Targets</t>
  </si>
  <si>
    <t>OPT_1_High Lotemax PostOps Users</t>
  </si>
  <si>
    <t>OPH_4_Non-Targets</t>
  </si>
  <si>
    <t>OPH_5_High Lotemax PostOps Users</t>
  </si>
  <si>
    <t>OPT_3_High Lotemax PostOps Users</t>
  </si>
  <si>
    <t>OPT_3_High Lotemax OSD Users</t>
  </si>
  <si>
    <t>OPH_5_High Lotemax OSD Users</t>
  </si>
  <si>
    <t>OPH_3_Suspension users</t>
  </si>
  <si>
    <t>OPH_5_High Potential PostOps Targets</t>
  </si>
  <si>
    <t>OPT_4_Portfolio Cataract Synergy Targets</t>
  </si>
  <si>
    <t>OPH_1_Portfolio Cataract Synergy Targets</t>
  </si>
  <si>
    <t>OPH_3_High Lotemax OSD Users</t>
  </si>
  <si>
    <t>OPT_4_Suspension users</t>
  </si>
  <si>
    <t>OPT_4_High Potential PostOps Targets</t>
  </si>
  <si>
    <t>OPT_2_High Lotemax PostOps Users</t>
  </si>
  <si>
    <t>OPT_3_Portfolio Cataract Synergy Targets</t>
  </si>
  <si>
    <t>A_0_Non-Targets</t>
  </si>
  <si>
    <t>OPT_0_Non-Targets</t>
  </si>
  <si>
    <t>OPT_2_Suspension users</t>
  </si>
  <si>
    <t>OPH_1_High Lotemax OSD Users</t>
  </si>
  <si>
    <t>OPT_5_High Lotemax OSD Users</t>
  </si>
  <si>
    <t>OPH_0_Non-Targets</t>
  </si>
  <si>
    <t>OPT_1_Portfolio Cataract Synergy Targets</t>
  </si>
  <si>
    <t>OPT_3_High Potential PostOps Targets</t>
  </si>
  <si>
    <t>OPT_1_Suspension users</t>
  </si>
  <si>
    <t>OPT_4_Non-Targets</t>
  </si>
  <si>
    <t>OPT_5_High Lotemax PostOps Users</t>
  </si>
  <si>
    <t>OPT_4_High Lotemax OSD Users</t>
  </si>
  <si>
    <t>OPH_1_NA</t>
  </si>
  <si>
    <t>OPH_1_High Potential PostOps Targets</t>
  </si>
  <si>
    <t>OPH_0_NA</t>
  </si>
  <si>
    <t>OPT_2_Portfolio Cataract Synergy Targets</t>
  </si>
  <si>
    <t>OPT_2_High Potential PostOps Targets</t>
  </si>
  <si>
    <t>OPT_1_NA</t>
  </si>
  <si>
    <t>OPT_5_Suspension users</t>
  </si>
  <si>
    <t>OPT_5_Non-Targets</t>
  </si>
  <si>
    <t>OPT_1_High Potential PostOps Targets</t>
  </si>
  <si>
    <t>OPT_5_High Potential PostOps Targets</t>
  </si>
  <si>
    <t>OPT_0_NA</t>
  </si>
  <si>
    <t>OPT_5_Portfolio Cataract Synergy Targets</t>
  </si>
  <si>
    <t>A_1_Suspension users</t>
  </si>
  <si>
    <t>A_2_Non-Targets</t>
  </si>
  <si>
    <t>OPH_0_Suspension users</t>
  </si>
  <si>
    <t>OPH_2_NA</t>
  </si>
  <si>
    <t>OPT_0_High Lotemax OSD Users</t>
  </si>
  <si>
    <t>Lotemax Weighted Decile</t>
  </si>
  <si>
    <t>Cataract Synergy Target</t>
  </si>
  <si>
    <t>PostOp Target</t>
  </si>
  <si>
    <t>OSD Target</t>
  </si>
  <si>
    <t>PRM</t>
  </si>
  <si>
    <t>Optimal PDE</t>
  </si>
  <si>
    <t>Optimal PDEs</t>
  </si>
  <si>
    <t>Q4 2020 Call Plan Full</t>
  </si>
  <si>
    <t>Prolensa Loyalist</t>
  </si>
  <si>
    <t>Prolensa Target</t>
  </si>
  <si>
    <t>-ve MROI Reach for the HCPs in this segment</t>
  </si>
  <si>
    <t>All 3 HCP don’t have lotemax at P1, This is due to MROI for P1 &lt;&gt; Lotemax is higher.</t>
  </si>
  <si>
    <t>Database</t>
  </si>
  <si>
    <t>SQL Server</t>
  </si>
  <si>
    <t>Sheet Name</t>
  </si>
  <si>
    <t>Range Name</t>
  </si>
  <si>
    <t>Update?</t>
  </si>
  <si>
    <t>Header?</t>
  </si>
  <si>
    <t>NO</t>
  </si>
  <si>
    <t>Update</t>
  </si>
  <si>
    <t>Clear</t>
  </si>
  <si>
    <t>Action</t>
  </si>
  <si>
    <t>Item No.</t>
  </si>
  <si>
    <t>SQL Source</t>
  </si>
  <si>
    <t>ASD123</t>
  </si>
  <si>
    <t>Control Sheet</t>
  </si>
  <si>
    <t>Go To Range</t>
  </si>
  <si>
    <t>Workbook</t>
  </si>
  <si>
    <t>Quick Mode?</t>
  </si>
  <si>
    <t>V20210815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</si>
</sst>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1" xfId="0" applyBorder="1"/>
    <xf numFmtId="164" fontId="0" fillId="0" borderId="1" xfId="2" applyNumberFormat="1" applyFont="1" applyBorder="1"/>
    <xf numFmtId="165" fontId="0" fillId="0" borderId="1" xfId="1" applyNumberFormat="1" applyFont="1" applyBorder="1"/>
    <xf numFmtId="0" fontId="0" fillId="3" borderId="1" xfId="0" applyFill="1" applyBorder="1"/>
    <xf numFmtId="10" fontId="0" fillId="3" borderId="1" xfId="1" applyNumberFormat="1" applyFont="1" applyFill="1" applyBorder="1"/>
    <xf numFmtId="2" fontId="0" fillId="3" borderId="1" xfId="0" applyNumberFormat="1" applyFill="1" applyBorder="1"/>
    <xf numFmtId="0" fontId="0" fillId="0" borderId="1" xfId="0" applyFill="1" applyBorder="1"/>
    <xf numFmtId="9" fontId="0" fillId="0" borderId="1" xfId="1" applyFont="1" applyBorder="1"/>
    <xf numFmtId="9" fontId="0" fillId="0" borderId="0" xfId="1" applyFont="1"/>
    <xf numFmtId="164" fontId="0" fillId="0" borderId="0" xfId="2" applyNumberFormat="1" applyFont="1"/>
    <xf numFmtId="0" fontId="0" fillId="2" borderId="4" xfId="0" applyFill="1" applyBorder="1" applyAlignment="1">
      <alignment horizontal="center"/>
    </xf>
    <xf numFmtId="0" fontId="0" fillId="0" borderId="1" xfId="0" applyBorder="1" applyAlignment="1"/>
    <xf numFmtId="0" fontId="0" fillId="2" borderId="4" xfId="0" applyFill="1" applyBorder="1" applyAlignment="1">
      <alignment horizontal="center"/>
    </xf>
    <xf numFmtId="164" fontId="0" fillId="0" borderId="1" xfId="2" applyNumberFormat="1" applyFont="1" applyFill="1" applyBorder="1"/>
    <xf numFmtId="164" fontId="0" fillId="3" borderId="1" xfId="2" applyNumberFormat="1" applyFont="1" applyFill="1" applyBorder="1"/>
    <xf numFmtId="9" fontId="0" fillId="3" borderId="1" xfId="1" applyFont="1" applyFill="1" applyBorder="1"/>
    <xf numFmtId="9" fontId="0" fillId="0" borderId="1" xfId="1" applyFont="1" applyFill="1" applyBorder="1"/>
    <xf numFmtId="0" fontId="0" fillId="4" borderId="1" xfId="0" applyFill="1" applyBorder="1"/>
    <xf numFmtId="164" fontId="0" fillId="4" borderId="1" xfId="2" applyNumberFormat="1" applyFont="1" applyFill="1" applyBorder="1"/>
    <xf numFmtId="9" fontId="0" fillId="4" borderId="1" xfId="1" applyFont="1" applyFill="1" applyBorder="1"/>
    <xf numFmtId="164" fontId="0" fillId="4" borderId="0" xfId="2" applyNumberFormat="1" applyFont="1" applyFill="1"/>
    <xf numFmtId="43" fontId="0" fillId="0" borderId="0" xfId="2" applyNumberFormat="1" applyFont="1"/>
    <xf numFmtId="164" fontId="0" fillId="0" borderId="0" xfId="2" applyNumberFormat="1" applyFont="1" applyFill="1"/>
    <xf numFmtId="0" fontId="0" fillId="0" borderId="0" xfId="0" quotePrefix="1"/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5" borderId="0" xfId="0" applyFill="1"/>
    <xf numFmtId="0" fontId="0" fillId="0" borderId="5" xfId="0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3" fillId="0" borderId="8" xfId="3" applyBorder="1" applyAlignment="1">
      <alignment horizontal="center" vertical="center"/>
    </xf>
    <xf numFmtId="0" fontId="3" fillId="0" borderId="11" xfId="3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7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 wrapText="1"/>
      <protection locked="0"/>
    </xf>
    <xf numFmtId="0" fontId="0" fillId="0" borderId="12" xfId="0" applyBorder="1" applyAlignment="1" applyProtection="1">
      <alignment vertical="center"/>
      <protection locked="0"/>
    </xf>
    <xf numFmtId="0" fontId="3" fillId="0" borderId="13" xfId="3" applyBorder="1" applyAlignment="1">
      <alignment horizontal="center" vertical="center"/>
    </xf>
    <xf numFmtId="0" fontId="3" fillId="0" borderId="14" xfId="3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0" borderId="26" xfId="3" applyBorder="1" applyAlignment="1">
      <alignment horizontal="center" vertical="center"/>
    </xf>
    <xf numFmtId="0" fontId="3" fillId="0" borderId="27" xfId="3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4" fillId="0" borderId="0" xfId="0" applyFont="1" applyBorder="1" applyProtection="1"/>
    <xf numFmtId="0" fontId="0" fillId="0" borderId="17" xfId="0" applyBorder="1" applyProtection="1"/>
    <xf numFmtId="0" fontId="0" fillId="0" borderId="18" xfId="0" applyBorder="1" applyProtection="1"/>
    <xf numFmtId="0" fontId="0" fillId="5" borderId="0" xfId="0" applyFill="1" applyProtection="1"/>
    <xf numFmtId="0" fontId="0" fillId="0" borderId="0" xfId="0" applyProtection="1"/>
    <xf numFmtId="0" fontId="4" fillId="0" borderId="19" xfId="0" applyFont="1" applyBorder="1" applyAlignment="1" applyProtection="1">
      <alignment vertical="top"/>
    </xf>
    <xf numFmtId="0" fontId="0" fillId="0" borderId="0" xfId="0" applyBorder="1" applyProtection="1"/>
    <xf numFmtId="0" fontId="0" fillId="0" borderId="20" xfId="0" applyBorder="1" applyProtection="1"/>
    <xf numFmtId="0" fontId="2" fillId="0" borderId="2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1" xfId="0" applyBorder="1" applyProtection="1">
      <protection locked="0"/>
    </xf>
    <xf numFmtId="0" fontId="0" fillId="0" borderId="2" xfId="0" applyBorder="1" applyAlignment="1" applyProtection="1">
      <alignment horizontal="right" indent="3"/>
      <protection locked="0"/>
    </xf>
    <xf numFmtId="0" fontId="0" fillId="0" borderId="4" xfId="0" applyBorder="1" applyAlignment="1" applyProtection="1">
      <alignment horizontal="right" indent="3"/>
      <protection locked="0"/>
    </xf>
    <xf numFmtId="0" fontId="0" fillId="0" borderId="1" xfId="0" applyBorder="1" applyAlignment="1" applyProtection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4">
    <cellStyle name="Comma" xfId="2" builtinId="3"/>
    <cellStyle name="Hyperlink" xfId="3" builtinId="8"/>
    <cellStyle name="Normal" xfId="0" builtinId="0"/>
    <cellStyle name="Percent" xfId="1" builtinId="5"/>
  </cellStyles>
  <dxfs count="28"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4030980</xdr:colOff>
      <xdr:row>3</xdr:row>
      <xdr:rowOff>15240</xdr:rowOff>
    </xdr:from>
    <xdr:to>
      <xdr:col>6</xdr:col>
      <xdr:colOff>259080</xdr:colOff>
      <xdr:row>5</xdr:row>
      <xdr:rowOff>0</xdr:rowOff>
    </xdr:to>
    <xdr:sp macro="[0]!Clear_All_Item" textlink="">
      <xdr:nvSpPr>
        <xdr:cNvPr id="2" name="Rounded Rectangle 1"/>
        <xdr:cNvSpPr/>
      </xdr:nvSpPr>
      <xdr:spPr>
        <a:xfrm>
          <a:off x="8366760" y="563880"/>
          <a:ext cx="1242060" cy="350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Clear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  <xdr:twoCellAnchor>
    <xdr:from>
      <xdr:col>6</xdr:col>
      <xdr:colOff>434340</xdr:colOff>
      <xdr:row>3</xdr:row>
      <xdr:rowOff>15240</xdr:rowOff>
    </xdr:from>
    <xdr:to>
      <xdr:col>8</xdr:col>
      <xdr:colOff>457200</xdr:colOff>
      <xdr:row>5</xdr:row>
      <xdr:rowOff>0</xdr:rowOff>
    </xdr:to>
    <xdr:sp macro="[0]!Update_All_Item" textlink="">
      <xdr:nvSpPr>
        <xdr:cNvPr id="3" name="Rounded Rectangle 2"/>
        <xdr:cNvSpPr/>
      </xdr:nvSpPr>
      <xdr:spPr>
        <a:xfrm>
          <a:off x="9784080" y="563880"/>
          <a:ext cx="1242060" cy="3505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Update All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</xdr:row>
          <xdr:rowOff>175260</xdr:rowOff>
        </xdr:from>
        <xdr:to>
          <xdr:col>4</xdr:col>
          <xdr:colOff>944880</xdr:colOff>
          <xdr:row>5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 Select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1013460</xdr:colOff>
          <xdr:row>3</xdr:row>
          <xdr:rowOff>175260</xdr:rowOff>
        </xdr:from>
        <xdr:to>
          <xdr:col>4</xdr:col>
          <xdr:colOff>2057400</xdr:colOff>
          <xdr:row>5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</a:rPr>
                <a:t> Validate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autoPageBreaks="0"/>
  </sheetPr>
  <dimension ref="A1:T141"/>
  <sheetViews>
    <sheetView showGridLines="0" tabSelected="1" zoomScaleNormal="100" zoomScaleSheetLayoutView="90" workbookViewId="0">
      <pane ySplit="8" topLeftCell="A9" activePane="bottomLeft" state="frozen"/>
      <selection pane="bottomLeft" activeCell="H2" sqref="H2"/>
    </sheetView>
  </sheetViews>
  <sheetFormatPr defaultRowHeight="14.4" x14ac:dyDescent="0.3"/>
  <cols>
    <col min="1" max="1" width="5.88671875" customWidth="1"/>
    <col min="2" max="2" width="10.5546875" customWidth="1"/>
    <col min="3" max="3" width="25.6640625" customWidth="1"/>
    <col min="4" max="4" width="30.6640625" customWidth="1"/>
    <col min="5" max="5" width="64.33203125" customWidth="1"/>
    <col min="10" max="10" width="13.33203125" customWidth="1"/>
  </cols>
  <sheetData>
    <row r="1" spans="1:20" s="54" customFormat="1" x14ac:dyDescent="0.3">
      <c r="A1" s="50" t="s">
        <v>173</v>
      </c>
      <c r="B1" s="51" t="s">
        <v>174</v>
      </c>
      <c r="C1" s="51"/>
      <c r="D1" s="51"/>
      <c r="E1" s="51"/>
      <c r="F1" s="51"/>
      <c r="G1" s="51"/>
      <c r="H1" s="51"/>
      <c r="I1" s="51"/>
      <c r="J1" s="51"/>
      <c r="K1" s="52"/>
      <c r="L1" s="53"/>
      <c r="M1" s="53"/>
      <c r="N1" s="53"/>
      <c r="O1" s="53"/>
      <c r="P1" s="53"/>
      <c r="Q1" s="53"/>
      <c r="R1" s="53"/>
      <c r="S1" s="53"/>
      <c r="T1" s="53"/>
    </row>
    <row r="2" spans="1:20" s="54" customFormat="1" x14ac:dyDescent="0.3">
      <c r="A2" s="55" t="s">
        <v>178</v>
      </c>
      <c r="B2" s="56"/>
      <c r="C2" s="56"/>
      <c r="D2" s="56"/>
      <c r="E2" s="56"/>
      <c r="F2" s="64" t="s">
        <v>177</v>
      </c>
      <c r="G2" s="64"/>
      <c r="H2" s="49" t="s">
        <v>167</v>
      </c>
      <c r="I2" s="56"/>
      <c r="J2" s="56"/>
      <c r="K2" s="57"/>
      <c r="L2" s="53"/>
      <c r="M2" s="53"/>
      <c r="N2" s="53"/>
      <c r="O2" s="53"/>
      <c r="P2" s="53"/>
      <c r="Q2" s="53"/>
      <c r="R2" s="53"/>
      <c r="S2" s="53"/>
      <c r="T2" s="53"/>
    </row>
    <row r="3" spans="1:20" ht="14.4" customHeight="1" x14ac:dyDescent="0.3">
      <c r="A3" s="27"/>
      <c r="B3" s="1" t="s">
        <v>162</v>
      </c>
      <c r="C3" s="61"/>
      <c r="D3" s="61"/>
      <c r="E3" s="28"/>
      <c r="F3" s="28"/>
      <c r="G3" s="28"/>
      <c r="H3" s="28"/>
      <c r="I3" s="28"/>
      <c r="J3" s="28"/>
      <c r="K3" s="29"/>
      <c r="L3" s="33"/>
      <c r="M3" s="33"/>
      <c r="N3" s="33"/>
      <c r="O3" s="33"/>
      <c r="P3" s="33"/>
      <c r="Q3" s="33"/>
      <c r="R3" s="33"/>
      <c r="S3" s="33"/>
      <c r="T3" s="33"/>
    </row>
    <row r="4" spans="1:20" ht="14.4" customHeight="1" x14ac:dyDescent="0.3">
      <c r="A4" s="27"/>
      <c r="B4" s="1" t="s">
        <v>161</v>
      </c>
      <c r="C4" s="61"/>
      <c r="D4" s="61"/>
      <c r="E4" s="28"/>
      <c r="F4" s="28"/>
      <c r="G4" s="28"/>
      <c r="H4" s="28"/>
      <c r="I4" s="28"/>
      <c r="J4" s="28"/>
      <c r="K4" s="29"/>
      <c r="L4" s="33"/>
      <c r="M4" s="33"/>
      <c r="N4" s="33"/>
      <c r="O4" s="33"/>
      <c r="P4" s="33"/>
      <c r="Q4" s="33"/>
      <c r="R4" s="33"/>
      <c r="S4" s="33"/>
      <c r="T4" s="33"/>
    </row>
    <row r="5" spans="1:20" ht="14.4" customHeight="1" x14ac:dyDescent="0.3">
      <c r="A5" s="27"/>
      <c r="B5" s="1" t="s">
        <v>176</v>
      </c>
      <c r="C5" s="62"/>
      <c r="D5" s="63"/>
      <c r="E5" s="28"/>
      <c r="F5" s="28"/>
      <c r="G5" s="28"/>
      <c r="H5" s="28"/>
      <c r="I5" s="28"/>
      <c r="J5" s="28"/>
      <c r="K5" s="29"/>
      <c r="L5" s="33"/>
      <c r="M5" s="33"/>
      <c r="N5" s="33"/>
      <c r="O5" s="33"/>
      <c r="P5" s="33"/>
      <c r="Q5" s="33"/>
      <c r="R5" s="33"/>
      <c r="S5" s="33"/>
      <c r="T5" s="33"/>
    </row>
    <row r="6" spans="1:20" ht="48" customHeight="1" x14ac:dyDescent="0.3">
      <c r="A6" s="27"/>
      <c r="B6" s="28"/>
      <c r="C6" s="28"/>
      <c r="D6" s="28"/>
      <c r="E6" s="28"/>
      <c r="F6" s="28"/>
      <c r="G6" s="28"/>
      <c r="H6" s="28"/>
      <c r="I6" s="28"/>
      <c r="J6" s="28"/>
      <c r="K6" s="29"/>
      <c r="L6" s="33"/>
      <c r="M6" s="33"/>
      <c r="N6" s="33"/>
      <c r="O6" s="33"/>
      <c r="P6" s="33"/>
      <c r="Q6" s="33"/>
      <c r="R6" s="33"/>
      <c r="S6" s="33"/>
      <c r="T6" s="33"/>
    </row>
    <row r="7" spans="1:20" ht="16.2" customHeight="1" thickBot="1" x14ac:dyDescent="0.35">
      <c r="A7" s="27"/>
      <c r="B7" s="28"/>
      <c r="C7" s="28"/>
      <c r="D7" s="28"/>
      <c r="E7" s="28"/>
      <c r="F7" s="28"/>
      <c r="G7" s="28"/>
      <c r="H7" s="28"/>
      <c r="I7" s="28"/>
      <c r="J7" s="28"/>
      <c r="K7" s="29"/>
      <c r="L7" s="33"/>
      <c r="M7" s="33"/>
      <c r="N7" s="33"/>
      <c r="O7" s="33"/>
      <c r="P7" s="33"/>
      <c r="Q7" s="33"/>
      <c r="R7" s="33"/>
      <c r="S7" s="33"/>
      <c r="T7" s="33"/>
    </row>
    <row r="8" spans="1:20" x14ac:dyDescent="0.3">
      <c r="A8" s="27"/>
      <c r="B8" s="25" t="s">
        <v>171</v>
      </c>
      <c r="C8" s="26" t="s">
        <v>164</v>
      </c>
      <c r="D8" s="26" t="s">
        <v>163</v>
      </c>
      <c r="E8" s="26" t="s">
        <v>172</v>
      </c>
      <c r="F8" s="26" t="s">
        <v>165</v>
      </c>
      <c r="G8" s="46" t="s">
        <v>166</v>
      </c>
      <c r="H8" s="58" t="s">
        <v>170</v>
      </c>
      <c r="I8" s="59"/>
      <c r="J8" s="60"/>
      <c r="K8" s="29"/>
      <c r="L8" s="33"/>
      <c r="M8" s="33"/>
      <c r="N8" s="33"/>
      <c r="O8" s="33"/>
      <c r="P8" s="33"/>
      <c r="Q8" s="33"/>
      <c r="R8" s="33"/>
      <c r="S8" s="33"/>
      <c r="T8" s="33"/>
    </row>
    <row r="9" spans="1:20" x14ac:dyDescent="0.3">
      <c r="A9" s="27"/>
      <c r="B9" s="34">
        <v>1</v>
      </c>
      <c r="C9" s="35"/>
      <c r="D9" s="35"/>
      <c r="E9" s="35"/>
      <c r="F9" s="35" t="s">
        <v>167</v>
      </c>
      <c r="G9" s="37" t="s">
        <v>167</v>
      </c>
      <c r="H9" s="47" t="s">
        <v>169</v>
      </c>
      <c r="I9" s="38" t="s">
        <v>168</v>
      </c>
      <c r="J9" s="39" t="s">
        <v>175</v>
      </c>
      <c r="K9" s="29"/>
      <c r="L9" s="33"/>
      <c r="M9" s="33"/>
      <c r="N9" s="33"/>
      <c r="O9" s="33"/>
      <c r="P9" s="33"/>
      <c r="Q9" s="33"/>
      <c r="R9" s="33"/>
      <c r="S9" s="33"/>
      <c r="T9" s="33"/>
    </row>
    <row r="10" spans="1:20" x14ac:dyDescent="0.3">
      <c r="A10" s="27"/>
      <c r="B10" s="34">
        <v>2</v>
      </c>
      <c r="C10" s="35"/>
      <c r="D10" s="35"/>
      <c r="E10" s="35"/>
      <c r="F10" s="35" t="s">
        <v>167</v>
      </c>
      <c r="G10" s="37" t="s">
        <v>167</v>
      </c>
      <c r="H10" s="47" t="s">
        <v>169</v>
      </c>
      <c r="I10" s="38" t="s">
        <v>168</v>
      </c>
      <c r="J10" s="39" t="s">
        <v>175</v>
      </c>
      <c r="K10" s="29"/>
      <c r="L10" s="33"/>
      <c r="M10" s="33"/>
      <c r="N10" s="33"/>
      <c r="O10" s="33"/>
      <c r="P10" s="33"/>
      <c r="Q10" s="33"/>
      <c r="R10" s="33"/>
      <c r="S10" s="33"/>
      <c r="T10" s="33"/>
    </row>
    <row r="11" spans="1:20" x14ac:dyDescent="0.3">
      <c r="A11" s="27"/>
      <c r="B11" s="34">
        <v>3</v>
      </c>
      <c r="C11" s="35"/>
      <c r="D11" s="35"/>
      <c r="E11" s="35"/>
      <c r="F11" s="35" t="s">
        <v>167</v>
      </c>
      <c r="G11" s="37" t="s">
        <v>167</v>
      </c>
      <c r="H11" s="47" t="s">
        <v>169</v>
      </c>
      <c r="I11" s="38" t="s">
        <v>168</v>
      </c>
      <c r="J11" s="39" t="s">
        <v>175</v>
      </c>
      <c r="K11" s="29"/>
      <c r="L11" s="33"/>
      <c r="M11" s="33"/>
      <c r="N11" s="33"/>
      <c r="O11" s="33"/>
      <c r="P11" s="33"/>
      <c r="Q11" s="33"/>
      <c r="R11" s="33"/>
      <c r="S11" s="33"/>
      <c r="T11" s="33"/>
    </row>
    <row r="12" spans="1:20" x14ac:dyDescent="0.3">
      <c r="A12" s="27"/>
      <c r="B12" s="34">
        <v>4</v>
      </c>
      <c r="C12" s="35"/>
      <c r="D12" s="35"/>
      <c r="E12" s="35"/>
      <c r="F12" s="35" t="s">
        <v>167</v>
      </c>
      <c r="G12" s="37" t="s">
        <v>167</v>
      </c>
      <c r="H12" s="47" t="s">
        <v>169</v>
      </c>
      <c r="I12" s="38" t="s">
        <v>168</v>
      </c>
      <c r="J12" s="39" t="s">
        <v>175</v>
      </c>
      <c r="K12" s="29"/>
      <c r="L12" s="33"/>
      <c r="M12" s="33"/>
      <c r="N12" s="33"/>
      <c r="O12" s="33"/>
      <c r="P12" s="33"/>
      <c r="Q12" s="33"/>
      <c r="R12" s="33"/>
      <c r="S12" s="33"/>
      <c r="T12" s="33"/>
    </row>
    <row r="13" spans="1:20" x14ac:dyDescent="0.3">
      <c r="A13" s="27"/>
      <c r="B13" s="34">
        <v>5</v>
      </c>
      <c r="C13" s="35"/>
      <c r="D13" s="35"/>
      <c r="E13" s="35"/>
      <c r="F13" s="35" t="s">
        <v>167</v>
      </c>
      <c r="G13" s="37" t="s">
        <v>167</v>
      </c>
      <c r="H13" s="47" t="s">
        <v>169</v>
      </c>
      <c r="I13" s="38" t="s">
        <v>168</v>
      </c>
      <c r="J13" s="39" t="s">
        <v>175</v>
      </c>
      <c r="K13" s="29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5" customHeight="1" x14ac:dyDescent="0.3">
      <c r="A14" s="27"/>
      <c r="B14" s="34">
        <v>6</v>
      </c>
      <c r="C14" s="35"/>
      <c r="D14" s="35"/>
      <c r="E14" s="35"/>
      <c r="F14" s="35" t="s">
        <v>167</v>
      </c>
      <c r="G14" s="37" t="s">
        <v>167</v>
      </c>
      <c r="H14" s="47" t="s">
        <v>169</v>
      </c>
      <c r="I14" s="38" t="s">
        <v>168</v>
      </c>
      <c r="J14" s="39" t="s">
        <v>175</v>
      </c>
      <c r="K14" s="29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4.4" customHeight="1" x14ac:dyDescent="0.3">
      <c r="A15" s="27"/>
      <c r="B15" s="34">
        <v>7</v>
      </c>
      <c r="C15" s="35"/>
      <c r="D15" s="35"/>
      <c r="E15" s="35"/>
      <c r="F15" s="35" t="s">
        <v>167</v>
      </c>
      <c r="G15" s="37" t="s">
        <v>167</v>
      </c>
      <c r="H15" s="47" t="s">
        <v>169</v>
      </c>
      <c r="I15" s="38" t="s">
        <v>168</v>
      </c>
      <c r="J15" s="39" t="s">
        <v>175</v>
      </c>
      <c r="K15" s="29"/>
      <c r="L15" s="33"/>
      <c r="M15" s="33"/>
      <c r="N15" s="33"/>
      <c r="O15" s="33"/>
      <c r="P15" s="33"/>
      <c r="Q15" s="33"/>
      <c r="R15" s="33"/>
      <c r="S15" s="33"/>
      <c r="T15" s="33"/>
    </row>
    <row r="16" spans="1:20" x14ac:dyDescent="0.3">
      <c r="A16" s="27"/>
      <c r="B16" s="34">
        <v>8</v>
      </c>
      <c r="C16" s="35"/>
      <c r="D16" s="35"/>
      <c r="E16" s="35"/>
      <c r="F16" s="35" t="s">
        <v>167</v>
      </c>
      <c r="G16" s="37" t="s">
        <v>167</v>
      </c>
      <c r="H16" s="47" t="s">
        <v>169</v>
      </c>
      <c r="I16" s="38" t="s">
        <v>168</v>
      </c>
      <c r="J16" s="39" t="s">
        <v>175</v>
      </c>
      <c r="K16" s="29"/>
      <c r="L16" s="33"/>
      <c r="M16" s="33"/>
      <c r="N16" s="33"/>
      <c r="O16" s="33"/>
      <c r="P16" s="33"/>
      <c r="Q16" s="33"/>
      <c r="R16" s="33"/>
      <c r="S16" s="33"/>
      <c r="T16" s="33"/>
    </row>
    <row r="17" spans="1:20" x14ac:dyDescent="0.3">
      <c r="A17" s="27"/>
      <c r="B17" s="34">
        <v>9</v>
      </c>
      <c r="C17" s="35"/>
      <c r="D17" s="35"/>
      <c r="E17" s="35"/>
      <c r="F17" s="35" t="s">
        <v>167</v>
      </c>
      <c r="G17" s="37" t="s">
        <v>167</v>
      </c>
      <c r="H17" s="47" t="s">
        <v>169</v>
      </c>
      <c r="I17" s="38" t="s">
        <v>168</v>
      </c>
      <c r="J17" s="39" t="s">
        <v>175</v>
      </c>
      <c r="K17" s="29"/>
      <c r="L17" s="33"/>
      <c r="M17" s="33"/>
      <c r="N17" s="33"/>
      <c r="O17" s="33"/>
      <c r="P17" s="33"/>
      <c r="Q17" s="33"/>
      <c r="R17" s="33"/>
      <c r="S17" s="33"/>
      <c r="T17" s="33"/>
    </row>
    <row r="18" spans="1:20" x14ac:dyDescent="0.3">
      <c r="A18" s="27"/>
      <c r="B18" s="34">
        <v>10</v>
      </c>
      <c r="C18" s="35"/>
      <c r="D18" s="35"/>
      <c r="E18" s="35"/>
      <c r="F18" s="35" t="s">
        <v>167</v>
      </c>
      <c r="G18" s="37" t="s">
        <v>167</v>
      </c>
      <c r="H18" s="47" t="s">
        <v>169</v>
      </c>
      <c r="I18" s="38" t="s">
        <v>168</v>
      </c>
      <c r="J18" s="39" t="s">
        <v>175</v>
      </c>
      <c r="K18" s="29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4.4" customHeight="1" x14ac:dyDescent="0.3">
      <c r="A19" s="27"/>
      <c r="B19" s="34">
        <v>11</v>
      </c>
      <c r="C19" s="35"/>
      <c r="D19" s="35"/>
      <c r="E19" s="35"/>
      <c r="F19" s="35" t="s">
        <v>167</v>
      </c>
      <c r="G19" s="37" t="s">
        <v>167</v>
      </c>
      <c r="H19" s="47" t="s">
        <v>169</v>
      </c>
      <c r="I19" s="38" t="s">
        <v>168</v>
      </c>
      <c r="J19" s="39" t="s">
        <v>175</v>
      </c>
      <c r="K19" s="29"/>
      <c r="L19" s="33"/>
      <c r="M19" s="33"/>
      <c r="N19" s="33"/>
      <c r="O19" s="33"/>
      <c r="P19" s="33"/>
      <c r="Q19" s="33"/>
      <c r="R19" s="33"/>
      <c r="S19" s="33"/>
      <c r="T19" s="33"/>
    </row>
    <row r="20" spans="1:20" x14ac:dyDescent="0.3">
      <c r="A20" s="27"/>
      <c r="B20" s="34">
        <v>12</v>
      </c>
      <c r="C20" s="35"/>
      <c r="D20" s="35"/>
      <c r="E20" s="35"/>
      <c r="F20" s="35" t="s">
        <v>167</v>
      </c>
      <c r="G20" s="37" t="s">
        <v>167</v>
      </c>
      <c r="H20" s="47" t="s">
        <v>169</v>
      </c>
      <c r="I20" s="38" t="s">
        <v>168</v>
      </c>
      <c r="J20" s="39" t="s">
        <v>175</v>
      </c>
      <c r="K20" s="29"/>
      <c r="L20" s="33"/>
      <c r="M20" s="33"/>
      <c r="N20" s="33"/>
      <c r="O20" s="33"/>
      <c r="P20" s="33"/>
      <c r="Q20" s="33"/>
      <c r="R20" s="33"/>
      <c r="S20" s="33"/>
      <c r="T20" s="33"/>
    </row>
    <row r="21" spans="1:20" x14ac:dyDescent="0.3">
      <c r="A21" s="27"/>
      <c r="B21" s="34">
        <v>13</v>
      </c>
      <c r="C21" s="35"/>
      <c r="D21" s="35"/>
      <c r="E21" s="35"/>
      <c r="F21" s="35" t="s">
        <v>167</v>
      </c>
      <c r="G21" s="37" t="s">
        <v>167</v>
      </c>
      <c r="H21" s="47" t="s">
        <v>169</v>
      </c>
      <c r="I21" s="38" t="s">
        <v>168</v>
      </c>
      <c r="J21" s="39" t="s">
        <v>175</v>
      </c>
      <c r="K21" s="29"/>
      <c r="L21" s="33"/>
      <c r="M21" s="33"/>
      <c r="N21" s="33"/>
      <c r="O21" s="33"/>
      <c r="P21" s="33"/>
      <c r="Q21" s="33"/>
      <c r="R21" s="33"/>
      <c r="S21" s="33"/>
      <c r="T21" s="33"/>
    </row>
    <row r="22" spans="1:20" x14ac:dyDescent="0.3">
      <c r="A22" s="27"/>
      <c r="B22" s="34">
        <v>14</v>
      </c>
      <c r="C22" s="35"/>
      <c r="D22" s="35"/>
      <c r="E22" s="35"/>
      <c r="F22" s="35" t="s">
        <v>167</v>
      </c>
      <c r="G22" s="37" t="s">
        <v>167</v>
      </c>
      <c r="H22" s="47" t="s">
        <v>169</v>
      </c>
      <c r="I22" s="38" t="s">
        <v>168</v>
      </c>
      <c r="J22" s="39" t="s">
        <v>175</v>
      </c>
      <c r="K22" s="29"/>
      <c r="L22" s="33"/>
      <c r="M22" s="33"/>
      <c r="N22" s="33"/>
      <c r="O22" s="33"/>
      <c r="P22" s="33"/>
      <c r="Q22" s="33"/>
      <c r="R22" s="33"/>
      <c r="S22" s="33"/>
      <c r="T22" s="33"/>
    </row>
    <row r="23" spans="1:20" x14ac:dyDescent="0.3">
      <c r="A23" s="27"/>
      <c r="B23" s="34">
        <v>15</v>
      </c>
      <c r="C23" s="35"/>
      <c r="D23" s="35"/>
      <c r="E23" s="35"/>
      <c r="F23" s="35" t="s">
        <v>167</v>
      </c>
      <c r="G23" s="37" t="s">
        <v>167</v>
      </c>
      <c r="H23" s="47" t="s">
        <v>169</v>
      </c>
      <c r="I23" s="38" t="s">
        <v>168</v>
      </c>
      <c r="J23" s="39" t="s">
        <v>175</v>
      </c>
      <c r="K23" s="29"/>
      <c r="L23" s="33"/>
      <c r="M23" s="33"/>
      <c r="N23" s="33"/>
      <c r="O23" s="33"/>
      <c r="P23" s="33"/>
      <c r="Q23" s="33"/>
      <c r="R23" s="33"/>
      <c r="S23" s="33"/>
      <c r="T23" s="33"/>
    </row>
    <row r="24" spans="1:20" x14ac:dyDescent="0.3">
      <c r="A24" s="27"/>
      <c r="B24" s="34">
        <v>16</v>
      </c>
      <c r="C24" s="35"/>
      <c r="D24" s="35"/>
      <c r="E24" s="35"/>
      <c r="F24" s="35" t="s">
        <v>167</v>
      </c>
      <c r="G24" s="37" t="s">
        <v>167</v>
      </c>
      <c r="H24" s="47" t="s">
        <v>169</v>
      </c>
      <c r="I24" s="38" t="s">
        <v>168</v>
      </c>
      <c r="J24" s="39" t="s">
        <v>175</v>
      </c>
      <c r="K24" s="29"/>
      <c r="L24" s="33"/>
      <c r="M24" s="33"/>
      <c r="N24" s="33"/>
      <c r="O24" s="33"/>
      <c r="P24" s="33"/>
      <c r="Q24" s="33"/>
      <c r="R24" s="33"/>
      <c r="S24" s="33"/>
      <c r="T24" s="33"/>
    </row>
    <row r="25" spans="1:20" ht="14.4" customHeight="1" x14ac:dyDescent="0.3">
      <c r="A25" s="27"/>
      <c r="B25" s="34">
        <v>17</v>
      </c>
      <c r="C25" s="35"/>
      <c r="D25" s="35"/>
      <c r="E25" s="35"/>
      <c r="F25" s="35" t="s">
        <v>167</v>
      </c>
      <c r="G25" s="37" t="s">
        <v>167</v>
      </c>
      <c r="H25" s="47" t="s">
        <v>169</v>
      </c>
      <c r="I25" s="38" t="s">
        <v>168</v>
      </c>
      <c r="J25" s="39" t="s">
        <v>175</v>
      </c>
      <c r="K25" s="29"/>
      <c r="L25" s="33"/>
      <c r="M25" s="33"/>
      <c r="N25" s="33"/>
      <c r="O25" s="33"/>
      <c r="P25" s="33"/>
      <c r="Q25" s="33"/>
      <c r="R25" s="33"/>
      <c r="S25" s="33"/>
      <c r="T25" s="33"/>
    </row>
    <row r="26" spans="1:20" x14ac:dyDescent="0.3">
      <c r="A26" s="27"/>
      <c r="B26" s="34">
        <v>18</v>
      </c>
      <c r="C26" s="35"/>
      <c r="D26" s="35"/>
      <c r="E26" s="35"/>
      <c r="F26" s="35" t="s">
        <v>167</v>
      </c>
      <c r="G26" s="37" t="s">
        <v>167</v>
      </c>
      <c r="H26" s="47" t="s">
        <v>169</v>
      </c>
      <c r="I26" s="38" t="s">
        <v>168</v>
      </c>
      <c r="J26" s="39" t="s">
        <v>175</v>
      </c>
      <c r="K26" s="29"/>
      <c r="L26" s="33"/>
      <c r="M26" s="33"/>
      <c r="N26" s="33"/>
      <c r="O26" s="33"/>
      <c r="P26" s="33"/>
      <c r="Q26" s="33"/>
      <c r="R26" s="33"/>
      <c r="S26" s="33"/>
      <c r="T26" s="33"/>
    </row>
    <row r="27" spans="1:20" ht="14.4" customHeight="1" x14ac:dyDescent="0.3">
      <c r="A27" s="27"/>
      <c r="B27" s="34">
        <v>19</v>
      </c>
      <c r="C27" s="35"/>
      <c r="D27" s="35"/>
      <c r="E27" s="35"/>
      <c r="F27" s="35" t="s">
        <v>167</v>
      </c>
      <c r="G27" s="37" t="s">
        <v>167</v>
      </c>
      <c r="H27" s="47" t="s">
        <v>169</v>
      </c>
      <c r="I27" s="38" t="s">
        <v>168</v>
      </c>
      <c r="J27" s="39" t="s">
        <v>175</v>
      </c>
      <c r="K27" s="29"/>
      <c r="L27" s="33"/>
      <c r="M27" s="33"/>
      <c r="N27" s="33"/>
      <c r="O27" s="33"/>
      <c r="P27" s="33"/>
      <c r="Q27" s="33"/>
      <c r="R27" s="33"/>
      <c r="S27" s="33"/>
      <c r="T27" s="33"/>
    </row>
    <row r="28" spans="1:20" x14ac:dyDescent="0.3">
      <c r="A28" s="27"/>
      <c r="B28" s="34">
        <v>20</v>
      </c>
      <c r="C28" s="35"/>
      <c r="D28" s="35"/>
      <c r="E28" s="35"/>
      <c r="F28" s="35" t="s">
        <v>167</v>
      </c>
      <c r="G28" s="37" t="s">
        <v>167</v>
      </c>
      <c r="H28" s="47" t="s">
        <v>169</v>
      </c>
      <c r="I28" s="38" t="s">
        <v>168</v>
      </c>
      <c r="J28" s="39" t="s">
        <v>175</v>
      </c>
      <c r="K28" s="29"/>
      <c r="L28" s="33"/>
      <c r="M28" s="33"/>
      <c r="N28" s="33"/>
      <c r="O28" s="33"/>
      <c r="P28" s="33"/>
      <c r="Q28" s="33"/>
      <c r="R28" s="33"/>
      <c r="S28" s="33"/>
      <c r="T28" s="33"/>
    </row>
    <row r="29" spans="1:20" x14ac:dyDescent="0.3">
      <c r="A29" s="27"/>
      <c r="B29" s="34">
        <v>21</v>
      </c>
      <c r="C29" s="35"/>
      <c r="D29" s="35"/>
      <c r="E29" s="35"/>
      <c r="F29" s="35" t="s">
        <v>167</v>
      </c>
      <c r="G29" s="37" t="s">
        <v>167</v>
      </c>
      <c r="H29" s="47" t="s">
        <v>169</v>
      </c>
      <c r="I29" s="38" t="s">
        <v>168</v>
      </c>
      <c r="J29" s="39" t="s">
        <v>175</v>
      </c>
      <c r="K29" s="29"/>
      <c r="L29" s="33"/>
      <c r="M29" s="33"/>
      <c r="N29" s="33"/>
      <c r="O29" s="33"/>
      <c r="P29" s="33"/>
      <c r="Q29" s="33"/>
      <c r="R29" s="33"/>
      <c r="S29" s="33"/>
      <c r="T29" s="33"/>
    </row>
    <row r="30" spans="1:20" x14ac:dyDescent="0.3">
      <c r="A30" s="27"/>
      <c r="B30" s="34">
        <v>22</v>
      </c>
      <c r="C30" s="35"/>
      <c r="D30" s="35"/>
      <c r="E30" s="35"/>
      <c r="F30" s="35" t="s">
        <v>167</v>
      </c>
      <c r="G30" s="37" t="s">
        <v>167</v>
      </c>
      <c r="H30" s="47" t="s">
        <v>169</v>
      </c>
      <c r="I30" s="38" t="s">
        <v>168</v>
      </c>
      <c r="J30" s="39" t="s">
        <v>175</v>
      </c>
      <c r="K30" s="29"/>
      <c r="L30" s="33"/>
      <c r="M30" s="33"/>
      <c r="N30" s="33"/>
      <c r="O30" s="33"/>
      <c r="P30" s="33"/>
      <c r="Q30" s="33"/>
      <c r="R30" s="33"/>
      <c r="S30" s="33"/>
      <c r="T30" s="33"/>
    </row>
    <row r="31" spans="1:20" x14ac:dyDescent="0.3">
      <c r="A31" s="27"/>
      <c r="B31" s="34">
        <v>23</v>
      </c>
      <c r="C31" s="35"/>
      <c r="D31" s="35"/>
      <c r="E31" s="35"/>
      <c r="F31" s="35" t="s">
        <v>167</v>
      </c>
      <c r="G31" s="37" t="s">
        <v>167</v>
      </c>
      <c r="H31" s="47" t="s">
        <v>169</v>
      </c>
      <c r="I31" s="38" t="s">
        <v>168</v>
      </c>
      <c r="J31" s="39" t="s">
        <v>175</v>
      </c>
      <c r="K31" s="29"/>
      <c r="L31" s="33"/>
      <c r="M31" s="33"/>
      <c r="N31" s="33"/>
      <c r="O31" s="33"/>
      <c r="P31" s="33"/>
      <c r="Q31" s="33"/>
      <c r="R31" s="33"/>
      <c r="S31" s="33"/>
      <c r="T31" s="33"/>
    </row>
    <row r="32" spans="1:20" x14ac:dyDescent="0.3">
      <c r="A32" s="27"/>
      <c r="B32" s="34">
        <v>24</v>
      </c>
      <c r="C32" s="35"/>
      <c r="D32" s="35"/>
      <c r="E32" s="35"/>
      <c r="F32" s="35" t="s">
        <v>167</v>
      </c>
      <c r="G32" s="37" t="s">
        <v>167</v>
      </c>
      <c r="H32" s="47" t="s">
        <v>169</v>
      </c>
      <c r="I32" s="38" t="s">
        <v>168</v>
      </c>
      <c r="J32" s="39" t="s">
        <v>175</v>
      </c>
      <c r="K32" s="29"/>
      <c r="L32" s="33"/>
      <c r="M32" s="33"/>
      <c r="N32" s="33"/>
      <c r="O32" s="33"/>
      <c r="P32" s="33"/>
      <c r="Q32" s="33"/>
      <c r="R32" s="33"/>
      <c r="S32" s="33"/>
      <c r="T32" s="33"/>
    </row>
    <row r="33" spans="1:20" x14ac:dyDescent="0.3">
      <c r="A33" s="27"/>
      <c r="B33" s="34">
        <v>25</v>
      </c>
      <c r="C33" s="35"/>
      <c r="D33" s="35"/>
      <c r="E33" s="35"/>
      <c r="F33" s="35" t="s">
        <v>167</v>
      </c>
      <c r="G33" s="37" t="s">
        <v>167</v>
      </c>
      <c r="H33" s="47" t="s">
        <v>169</v>
      </c>
      <c r="I33" s="38" t="s">
        <v>168</v>
      </c>
      <c r="J33" s="39" t="s">
        <v>175</v>
      </c>
      <c r="K33" s="29"/>
      <c r="L33" s="33"/>
      <c r="M33" s="33"/>
      <c r="N33" s="33"/>
      <c r="O33" s="33"/>
      <c r="P33" s="33"/>
      <c r="Q33" s="33"/>
      <c r="R33" s="33"/>
      <c r="S33" s="33"/>
      <c r="T33" s="33"/>
    </row>
    <row r="34" spans="1:20" x14ac:dyDescent="0.3">
      <c r="A34" s="27"/>
      <c r="B34" s="34">
        <v>26</v>
      </c>
      <c r="C34" s="35"/>
      <c r="D34" s="35"/>
      <c r="E34" s="35"/>
      <c r="F34" s="35" t="s">
        <v>167</v>
      </c>
      <c r="G34" s="37" t="s">
        <v>167</v>
      </c>
      <c r="H34" s="47" t="s">
        <v>169</v>
      </c>
      <c r="I34" s="38" t="s">
        <v>168</v>
      </c>
      <c r="J34" s="39" t="s">
        <v>175</v>
      </c>
      <c r="K34" s="29"/>
      <c r="L34" s="33"/>
      <c r="M34" s="33"/>
      <c r="N34" s="33"/>
      <c r="O34" s="33"/>
      <c r="P34" s="33"/>
      <c r="Q34" s="33"/>
      <c r="R34" s="33"/>
      <c r="S34" s="33"/>
      <c r="T34" s="33"/>
    </row>
    <row r="35" spans="1:20" x14ac:dyDescent="0.3">
      <c r="A35" s="27"/>
      <c r="B35" s="34">
        <v>27</v>
      </c>
      <c r="C35" s="35"/>
      <c r="D35" s="35"/>
      <c r="E35" s="35"/>
      <c r="F35" s="35" t="s">
        <v>167</v>
      </c>
      <c r="G35" s="37" t="s">
        <v>167</v>
      </c>
      <c r="H35" s="47" t="s">
        <v>169</v>
      </c>
      <c r="I35" s="38" t="s">
        <v>168</v>
      </c>
      <c r="J35" s="39" t="s">
        <v>175</v>
      </c>
      <c r="K35" s="29"/>
      <c r="L35" s="33"/>
      <c r="M35" s="33"/>
      <c r="N35" s="33"/>
      <c r="O35" s="33"/>
      <c r="P35" s="33"/>
      <c r="Q35" s="33"/>
      <c r="R35" s="33"/>
      <c r="S35" s="33"/>
      <c r="T35" s="33"/>
    </row>
    <row r="36" spans="1:20" x14ac:dyDescent="0.3">
      <c r="A36" s="27"/>
      <c r="B36" s="34">
        <v>28</v>
      </c>
      <c r="C36" s="35"/>
      <c r="D36" s="35"/>
      <c r="E36" s="35"/>
      <c r="F36" s="35" t="s">
        <v>167</v>
      </c>
      <c r="G36" s="37" t="s">
        <v>167</v>
      </c>
      <c r="H36" s="47" t="s">
        <v>169</v>
      </c>
      <c r="I36" s="38" t="s">
        <v>168</v>
      </c>
      <c r="J36" s="39" t="s">
        <v>175</v>
      </c>
      <c r="K36" s="29"/>
      <c r="L36" s="33"/>
      <c r="M36" s="33"/>
      <c r="N36" s="33"/>
      <c r="O36" s="33"/>
      <c r="P36" s="33"/>
      <c r="Q36" s="33"/>
      <c r="R36" s="33"/>
      <c r="S36" s="33"/>
      <c r="T36" s="33"/>
    </row>
    <row r="37" spans="1:20" x14ac:dyDescent="0.3">
      <c r="A37" s="27"/>
      <c r="B37" s="34">
        <v>29</v>
      </c>
      <c r="C37" s="35"/>
      <c r="D37" s="35"/>
      <c r="E37" s="35"/>
      <c r="F37" s="35" t="s">
        <v>167</v>
      </c>
      <c r="G37" s="37" t="s">
        <v>167</v>
      </c>
      <c r="H37" s="47" t="s">
        <v>169</v>
      </c>
      <c r="I37" s="38" t="s">
        <v>168</v>
      </c>
      <c r="J37" s="39" t="s">
        <v>175</v>
      </c>
      <c r="K37" s="29"/>
      <c r="L37" s="33"/>
      <c r="M37" s="33"/>
      <c r="N37" s="33"/>
      <c r="O37" s="33"/>
      <c r="P37" s="33"/>
      <c r="Q37" s="33"/>
      <c r="R37" s="33"/>
      <c r="S37" s="33"/>
      <c r="T37" s="33"/>
    </row>
    <row r="38" spans="1:20" x14ac:dyDescent="0.3">
      <c r="A38" s="27"/>
      <c r="B38" s="34">
        <v>30</v>
      </c>
      <c r="C38" s="35"/>
      <c r="D38" s="35"/>
      <c r="E38" s="35"/>
      <c r="F38" s="35" t="s">
        <v>167</v>
      </c>
      <c r="G38" s="37" t="s">
        <v>167</v>
      </c>
      <c r="H38" s="47" t="s">
        <v>169</v>
      </c>
      <c r="I38" s="38" t="s">
        <v>168</v>
      </c>
      <c r="J38" s="39" t="s">
        <v>175</v>
      </c>
      <c r="K38" s="29"/>
      <c r="L38" s="33"/>
      <c r="M38" s="33"/>
      <c r="N38" s="33"/>
      <c r="O38" s="33"/>
      <c r="P38" s="33"/>
      <c r="Q38" s="33"/>
      <c r="R38" s="33"/>
      <c r="S38" s="33"/>
      <c r="T38" s="33"/>
    </row>
    <row r="39" spans="1:20" x14ac:dyDescent="0.3">
      <c r="A39" s="27"/>
      <c r="B39" s="34">
        <v>31</v>
      </c>
      <c r="C39" s="35"/>
      <c r="D39" s="35"/>
      <c r="E39" s="35"/>
      <c r="F39" s="35" t="s">
        <v>167</v>
      </c>
      <c r="G39" s="37" t="s">
        <v>167</v>
      </c>
      <c r="H39" s="47" t="s">
        <v>169</v>
      </c>
      <c r="I39" s="38" t="s">
        <v>168</v>
      </c>
      <c r="J39" s="39" t="s">
        <v>175</v>
      </c>
      <c r="K39" s="29"/>
      <c r="L39" s="33"/>
      <c r="M39" s="33"/>
      <c r="N39" s="33"/>
      <c r="O39" s="33"/>
      <c r="P39" s="33"/>
      <c r="Q39" s="33"/>
      <c r="R39" s="33"/>
      <c r="S39" s="33"/>
      <c r="T39" s="33"/>
    </row>
    <row r="40" spans="1:20" x14ac:dyDescent="0.3">
      <c r="A40" s="27"/>
      <c r="B40" s="34">
        <v>32</v>
      </c>
      <c r="C40" s="35"/>
      <c r="D40" s="35"/>
      <c r="E40" s="35"/>
      <c r="F40" s="35" t="s">
        <v>167</v>
      </c>
      <c r="G40" s="37" t="s">
        <v>167</v>
      </c>
      <c r="H40" s="47" t="s">
        <v>169</v>
      </c>
      <c r="I40" s="38" t="s">
        <v>168</v>
      </c>
      <c r="J40" s="39" t="s">
        <v>175</v>
      </c>
      <c r="K40" s="29"/>
      <c r="L40" s="33"/>
      <c r="M40" s="33"/>
      <c r="N40" s="33"/>
      <c r="O40" s="33"/>
      <c r="P40" s="33"/>
      <c r="Q40" s="33"/>
      <c r="R40" s="33"/>
      <c r="S40" s="33"/>
      <c r="T40" s="33"/>
    </row>
    <row r="41" spans="1:20" x14ac:dyDescent="0.3">
      <c r="A41" s="27"/>
      <c r="B41" s="34">
        <v>33</v>
      </c>
      <c r="C41" s="35"/>
      <c r="D41" s="35"/>
      <c r="E41" s="35"/>
      <c r="F41" s="35" t="s">
        <v>167</v>
      </c>
      <c r="G41" s="37" t="s">
        <v>167</v>
      </c>
      <c r="H41" s="47" t="s">
        <v>169</v>
      </c>
      <c r="I41" s="38" t="s">
        <v>168</v>
      </c>
      <c r="J41" s="39" t="s">
        <v>175</v>
      </c>
      <c r="K41" s="29"/>
      <c r="L41" s="33"/>
      <c r="M41" s="33"/>
      <c r="N41" s="33"/>
      <c r="O41" s="33"/>
      <c r="P41" s="33"/>
      <c r="Q41" s="33"/>
      <c r="R41" s="33"/>
      <c r="S41" s="33"/>
      <c r="T41" s="33"/>
    </row>
    <row r="42" spans="1:20" x14ac:dyDescent="0.3">
      <c r="A42" s="27"/>
      <c r="B42" s="34">
        <v>34</v>
      </c>
      <c r="C42" s="35"/>
      <c r="D42" s="35"/>
      <c r="E42" s="35"/>
      <c r="F42" s="35" t="s">
        <v>167</v>
      </c>
      <c r="G42" s="37" t="s">
        <v>167</v>
      </c>
      <c r="H42" s="47" t="s">
        <v>169</v>
      </c>
      <c r="I42" s="38" t="s">
        <v>168</v>
      </c>
      <c r="J42" s="39" t="s">
        <v>175</v>
      </c>
      <c r="K42" s="29"/>
      <c r="L42" s="33"/>
      <c r="M42" s="33"/>
      <c r="N42" s="33"/>
      <c r="O42" s="33"/>
      <c r="P42" s="33"/>
      <c r="Q42" s="33"/>
      <c r="R42" s="33"/>
      <c r="S42" s="33"/>
      <c r="T42" s="33"/>
    </row>
    <row r="43" spans="1:20" x14ac:dyDescent="0.3">
      <c r="A43" s="27"/>
      <c r="B43" s="34">
        <v>35</v>
      </c>
      <c r="C43" s="35"/>
      <c r="D43" s="35"/>
      <c r="E43" s="35"/>
      <c r="F43" s="35" t="s">
        <v>167</v>
      </c>
      <c r="G43" s="37" t="s">
        <v>167</v>
      </c>
      <c r="H43" s="47" t="s">
        <v>169</v>
      </c>
      <c r="I43" s="38" t="s">
        <v>168</v>
      </c>
      <c r="J43" s="39" t="s">
        <v>175</v>
      </c>
      <c r="K43" s="29"/>
      <c r="L43" s="33"/>
      <c r="M43" s="33"/>
      <c r="N43" s="33"/>
      <c r="O43" s="33"/>
      <c r="P43" s="33"/>
      <c r="Q43" s="33"/>
      <c r="R43" s="33"/>
      <c r="S43" s="33"/>
      <c r="T43" s="33"/>
    </row>
    <row r="44" spans="1:20" x14ac:dyDescent="0.3">
      <c r="A44" s="27"/>
      <c r="B44" s="34">
        <v>36</v>
      </c>
      <c r="C44" s="35"/>
      <c r="D44" s="35"/>
      <c r="E44" s="35"/>
      <c r="F44" s="35" t="s">
        <v>167</v>
      </c>
      <c r="G44" s="37" t="s">
        <v>167</v>
      </c>
      <c r="H44" s="47" t="s">
        <v>169</v>
      </c>
      <c r="I44" s="38" t="s">
        <v>168</v>
      </c>
      <c r="J44" s="39" t="s">
        <v>175</v>
      </c>
      <c r="K44" s="29"/>
      <c r="L44" s="33"/>
      <c r="M44" s="33"/>
      <c r="N44" s="33"/>
      <c r="O44" s="33"/>
      <c r="P44" s="33"/>
      <c r="Q44" s="33"/>
      <c r="R44" s="33"/>
      <c r="S44" s="33"/>
      <c r="T44" s="33"/>
    </row>
    <row r="45" spans="1:20" x14ac:dyDescent="0.3">
      <c r="A45" s="27"/>
      <c r="B45" s="34">
        <v>37</v>
      </c>
      <c r="C45" s="35"/>
      <c r="D45" s="35"/>
      <c r="E45" s="35"/>
      <c r="F45" s="35" t="s">
        <v>167</v>
      </c>
      <c r="G45" s="37" t="s">
        <v>167</v>
      </c>
      <c r="H45" s="47" t="s">
        <v>169</v>
      </c>
      <c r="I45" s="38" t="s">
        <v>168</v>
      </c>
      <c r="J45" s="39" t="s">
        <v>175</v>
      </c>
      <c r="K45" s="29"/>
      <c r="L45" s="33"/>
      <c r="M45" s="33"/>
      <c r="N45" s="33"/>
      <c r="O45" s="33"/>
      <c r="P45" s="33"/>
      <c r="Q45" s="33"/>
      <c r="R45" s="33"/>
      <c r="S45" s="33"/>
      <c r="T45" s="33"/>
    </row>
    <row r="46" spans="1:20" x14ac:dyDescent="0.3">
      <c r="A46" s="27"/>
      <c r="B46" s="34">
        <v>38</v>
      </c>
      <c r="C46" s="35"/>
      <c r="D46" s="35"/>
      <c r="E46" s="35"/>
      <c r="F46" s="35" t="s">
        <v>167</v>
      </c>
      <c r="G46" s="37" t="s">
        <v>167</v>
      </c>
      <c r="H46" s="47" t="s">
        <v>169</v>
      </c>
      <c r="I46" s="38" t="s">
        <v>168</v>
      </c>
      <c r="J46" s="39" t="s">
        <v>175</v>
      </c>
      <c r="K46" s="29"/>
      <c r="L46" s="33"/>
      <c r="M46" s="33"/>
      <c r="N46" s="33"/>
      <c r="O46" s="33"/>
      <c r="P46" s="33"/>
      <c r="Q46" s="33"/>
      <c r="R46" s="33"/>
      <c r="S46" s="33"/>
      <c r="T46" s="33"/>
    </row>
    <row r="47" spans="1:20" x14ac:dyDescent="0.3">
      <c r="A47" s="27"/>
      <c r="B47" s="34">
        <v>39</v>
      </c>
      <c r="C47" s="35"/>
      <c r="D47" s="35"/>
      <c r="E47" s="35"/>
      <c r="F47" s="35" t="s">
        <v>167</v>
      </c>
      <c r="G47" s="37" t="s">
        <v>167</v>
      </c>
      <c r="H47" s="47" t="s">
        <v>169</v>
      </c>
      <c r="I47" s="38" t="s">
        <v>168</v>
      </c>
      <c r="J47" s="39" t="s">
        <v>175</v>
      </c>
      <c r="K47" s="29"/>
      <c r="L47" s="33"/>
      <c r="M47" s="33"/>
      <c r="N47" s="33"/>
      <c r="O47" s="33"/>
      <c r="P47" s="33"/>
      <c r="Q47" s="33"/>
      <c r="R47" s="33"/>
      <c r="S47" s="33"/>
      <c r="T47" s="33"/>
    </row>
    <row r="48" spans="1:20" x14ac:dyDescent="0.3">
      <c r="A48" s="27"/>
      <c r="B48" s="34">
        <v>40</v>
      </c>
      <c r="C48" s="35"/>
      <c r="D48" s="35"/>
      <c r="E48" s="35"/>
      <c r="F48" s="35" t="s">
        <v>167</v>
      </c>
      <c r="G48" s="37" t="s">
        <v>167</v>
      </c>
      <c r="H48" s="47" t="s">
        <v>169</v>
      </c>
      <c r="I48" s="38" t="s">
        <v>168</v>
      </c>
      <c r="J48" s="39" t="s">
        <v>175</v>
      </c>
      <c r="K48" s="29"/>
      <c r="L48" s="33"/>
      <c r="M48" s="33"/>
      <c r="N48" s="33"/>
      <c r="O48" s="33"/>
      <c r="P48" s="33"/>
      <c r="Q48" s="33"/>
      <c r="R48" s="33"/>
      <c r="S48" s="33"/>
      <c r="T48" s="33"/>
    </row>
    <row r="49" spans="1:20" x14ac:dyDescent="0.3">
      <c r="A49" s="27"/>
      <c r="B49" s="34">
        <v>41</v>
      </c>
      <c r="C49" s="35"/>
      <c r="D49" s="35"/>
      <c r="E49" s="35"/>
      <c r="F49" s="35" t="s">
        <v>167</v>
      </c>
      <c r="G49" s="37" t="s">
        <v>167</v>
      </c>
      <c r="H49" s="47" t="s">
        <v>169</v>
      </c>
      <c r="I49" s="38" t="s">
        <v>168</v>
      </c>
      <c r="J49" s="39" t="s">
        <v>175</v>
      </c>
      <c r="K49" s="29"/>
      <c r="L49" s="33"/>
      <c r="M49" s="33"/>
      <c r="N49" s="33"/>
      <c r="O49" s="33"/>
      <c r="P49" s="33"/>
      <c r="Q49" s="33"/>
      <c r="R49" s="33"/>
      <c r="S49" s="33"/>
      <c r="T49" s="33"/>
    </row>
    <row r="50" spans="1:20" x14ac:dyDescent="0.3">
      <c r="A50" s="27"/>
      <c r="B50" s="34">
        <v>42</v>
      </c>
      <c r="C50" s="35"/>
      <c r="D50" s="35"/>
      <c r="E50" s="35"/>
      <c r="F50" s="35" t="s">
        <v>167</v>
      </c>
      <c r="G50" s="37" t="s">
        <v>167</v>
      </c>
      <c r="H50" s="47" t="s">
        <v>169</v>
      </c>
      <c r="I50" s="38" t="s">
        <v>168</v>
      </c>
      <c r="J50" s="39" t="s">
        <v>175</v>
      </c>
      <c r="K50" s="29"/>
      <c r="L50" s="33"/>
      <c r="M50" s="33"/>
      <c r="N50" s="33"/>
      <c r="O50" s="33"/>
      <c r="P50" s="33"/>
      <c r="Q50" s="33"/>
      <c r="R50" s="33"/>
      <c r="S50" s="33"/>
      <c r="T50" s="33"/>
    </row>
    <row r="51" spans="1:20" x14ac:dyDescent="0.3">
      <c r="A51" s="27"/>
      <c r="B51" s="34">
        <v>43</v>
      </c>
      <c r="C51" s="35"/>
      <c r="D51" s="35"/>
      <c r="E51" s="35"/>
      <c r="F51" s="35" t="s">
        <v>167</v>
      </c>
      <c r="G51" s="37" t="s">
        <v>167</v>
      </c>
      <c r="H51" s="47" t="s">
        <v>169</v>
      </c>
      <c r="I51" s="38" t="s">
        <v>168</v>
      </c>
      <c r="J51" s="39" t="s">
        <v>175</v>
      </c>
      <c r="K51" s="29"/>
      <c r="L51" s="33"/>
      <c r="M51" s="33"/>
      <c r="N51" s="33"/>
      <c r="O51" s="33"/>
      <c r="P51" s="33"/>
      <c r="Q51" s="33"/>
      <c r="R51" s="33"/>
      <c r="S51" s="33"/>
      <c r="T51" s="33"/>
    </row>
    <row r="52" spans="1:20" x14ac:dyDescent="0.3">
      <c r="A52" s="27"/>
      <c r="B52" s="34">
        <v>44</v>
      </c>
      <c r="C52" s="35"/>
      <c r="D52" s="35"/>
      <c r="E52" s="35"/>
      <c r="F52" s="35" t="s">
        <v>167</v>
      </c>
      <c r="G52" s="37" t="s">
        <v>167</v>
      </c>
      <c r="H52" s="47" t="s">
        <v>169</v>
      </c>
      <c r="I52" s="38" t="s">
        <v>168</v>
      </c>
      <c r="J52" s="39" t="s">
        <v>175</v>
      </c>
      <c r="K52" s="29"/>
      <c r="L52" s="33"/>
      <c r="M52" s="33"/>
      <c r="N52" s="33"/>
      <c r="O52" s="33"/>
      <c r="P52" s="33"/>
      <c r="Q52" s="33"/>
      <c r="R52" s="33"/>
      <c r="S52" s="33"/>
      <c r="T52" s="33"/>
    </row>
    <row r="53" spans="1:20" x14ac:dyDescent="0.3">
      <c r="A53" s="27"/>
      <c r="B53" s="34">
        <v>45</v>
      </c>
      <c r="C53" s="35"/>
      <c r="D53" s="35"/>
      <c r="E53" s="35"/>
      <c r="F53" s="35" t="s">
        <v>167</v>
      </c>
      <c r="G53" s="37" t="s">
        <v>167</v>
      </c>
      <c r="H53" s="47" t="s">
        <v>169</v>
      </c>
      <c r="I53" s="38" t="s">
        <v>168</v>
      </c>
      <c r="J53" s="39" t="s">
        <v>175</v>
      </c>
      <c r="K53" s="29"/>
      <c r="L53" s="33"/>
      <c r="M53" s="33"/>
      <c r="N53" s="33"/>
      <c r="O53" s="33"/>
      <c r="P53" s="33"/>
      <c r="Q53" s="33"/>
      <c r="R53" s="33"/>
      <c r="S53" s="33"/>
      <c r="T53" s="33"/>
    </row>
    <row r="54" spans="1:20" x14ac:dyDescent="0.3">
      <c r="A54" s="27"/>
      <c r="B54" s="34">
        <v>46</v>
      </c>
      <c r="C54" s="35"/>
      <c r="D54" s="35"/>
      <c r="E54" s="35"/>
      <c r="F54" s="35" t="s">
        <v>167</v>
      </c>
      <c r="G54" s="37" t="s">
        <v>167</v>
      </c>
      <c r="H54" s="47" t="s">
        <v>169</v>
      </c>
      <c r="I54" s="38" t="s">
        <v>168</v>
      </c>
      <c r="J54" s="39" t="s">
        <v>175</v>
      </c>
      <c r="K54" s="29"/>
      <c r="L54" s="33"/>
      <c r="M54" s="33"/>
      <c r="N54" s="33"/>
      <c r="O54" s="33"/>
      <c r="P54" s="33"/>
      <c r="Q54" s="33"/>
      <c r="R54" s="33"/>
      <c r="S54" s="33"/>
      <c r="T54" s="33"/>
    </row>
    <row r="55" spans="1:20" x14ac:dyDescent="0.3">
      <c r="A55" s="27"/>
      <c r="B55" s="34">
        <v>47</v>
      </c>
      <c r="C55" s="35"/>
      <c r="D55" s="35"/>
      <c r="E55" s="35"/>
      <c r="F55" s="35" t="s">
        <v>167</v>
      </c>
      <c r="G55" s="37" t="s">
        <v>167</v>
      </c>
      <c r="H55" s="47" t="s">
        <v>169</v>
      </c>
      <c r="I55" s="38" t="s">
        <v>168</v>
      </c>
      <c r="J55" s="39" t="s">
        <v>175</v>
      </c>
      <c r="K55" s="29"/>
      <c r="L55" s="33"/>
      <c r="M55" s="33"/>
      <c r="N55" s="33"/>
      <c r="O55" s="33"/>
      <c r="P55" s="33"/>
      <c r="Q55" s="33"/>
      <c r="R55" s="33"/>
      <c r="S55" s="33"/>
      <c r="T55" s="33"/>
    </row>
    <row r="56" spans="1:20" x14ac:dyDescent="0.3">
      <c r="A56" s="27"/>
      <c r="B56" s="34">
        <v>48</v>
      </c>
      <c r="C56" s="35"/>
      <c r="D56" s="35"/>
      <c r="E56" s="35"/>
      <c r="F56" s="35" t="s">
        <v>167</v>
      </c>
      <c r="G56" s="37" t="s">
        <v>167</v>
      </c>
      <c r="H56" s="47" t="s">
        <v>169</v>
      </c>
      <c r="I56" s="38" t="s">
        <v>168</v>
      </c>
      <c r="J56" s="39" t="s">
        <v>175</v>
      </c>
      <c r="K56" s="29"/>
      <c r="L56" s="33"/>
      <c r="M56" s="33"/>
      <c r="N56" s="33"/>
      <c r="O56" s="33"/>
      <c r="P56" s="33"/>
      <c r="Q56" s="33"/>
      <c r="R56" s="33"/>
      <c r="S56" s="33"/>
      <c r="T56" s="33"/>
    </row>
    <row r="57" spans="1:20" x14ac:dyDescent="0.3">
      <c r="A57" s="27"/>
      <c r="B57" s="34">
        <v>49</v>
      </c>
      <c r="C57" s="35"/>
      <c r="D57" s="35"/>
      <c r="E57" s="35"/>
      <c r="F57" s="35" t="s">
        <v>167</v>
      </c>
      <c r="G57" s="37" t="s">
        <v>167</v>
      </c>
      <c r="H57" s="47" t="s">
        <v>169</v>
      </c>
      <c r="I57" s="38" t="s">
        <v>168</v>
      </c>
      <c r="J57" s="39" t="s">
        <v>175</v>
      </c>
      <c r="K57" s="29"/>
      <c r="L57" s="33"/>
      <c r="M57" s="33"/>
      <c r="N57" s="33"/>
      <c r="O57" s="33"/>
      <c r="P57" s="33"/>
      <c r="Q57" s="33"/>
      <c r="R57" s="33"/>
      <c r="S57" s="33"/>
      <c r="T57" s="33"/>
    </row>
    <row r="58" spans="1:20" x14ac:dyDescent="0.3">
      <c r="A58" s="27"/>
      <c r="B58" s="34">
        <v>50</v>
      </c>
      <c r="C58" s="35"/>
      <c r="D58" s="35"/>
      <c r="E58" s="35"/>
      <c r="F58" s="35" t="s">
        <v>167</v>
      </c>
      <c r="G58" s="37" t="s">
        <v>167</v>
      </c>
      <c r="H58" s="47" t="s">
        <v>169</v>
      </c>
      <c r="I58" s="38" t="s">
        <v>168</v>
      </c>
      <c r="J58" s="39" t="s">
        <v>175</v>
      </c>
      <c r="K58" s="29"/>
      <c r="L58" s="33"/>
      <c r="M58" s="33"/>
      <c r="N58" s="33"/>
      <c r="O58" s="33"/>
      <c r="P58" s="33"/>
      <c r="Q58" s="33"/>
      <c r="R58" s="33"/>
      <c r="S58" s="33"/>
      <c r="T58" s="33"/>
    </row>
    <row r="59" spans="1:20" x14ac:dyDescent="0.3">
      <c r="A59" s="27"/>
      <c r="B59" s="34">
        <v>51</v>
      </c>
      <c r="C59" s="35"/>
      <c r="D59" s="35"/>
      <c r="E59" s="35"/>
      <c r="F59" s="35" t="s">
        <v>167</v>
      </c>
      <c r="G59" s="37" t="s">
        <v>167</v>
      </c>
      <c r="H59" s="47" t="s">
        <v>169</v>
      </c>
      <c r="I59" s="38" t="s">
        <v>168</v>
      </c>
      <c r="J59" s="39" t="s">
        <v>175</v>
      </c>
      <c r="K59" s="29"/>
      <c r="L59" s="33"/>
      <c r="M59" s="33"/>
      <c r="N59" s="33"/>
      <c r="O59" s="33"/>
      <c r="P59" s="33"/>
      <c r="Q59" s="33"/>
      <c r="R59" s="33"/>
      <c r="S59" s="33"/>
      <c r="T59" s="33"/>
    </row>
    <row r="60" spans="1:20" x14ac:dyDescent="0.3">
      <c r="A60" s="27"/>
      <c r="B60" s="34">
        <v>52</v>
      </c>
      <c r="C60" s="35"/>
      <c r="D60" s="35"/>
      <c r="E60" s="35"/>
      <c r="F60" s="35" t="s">
        <v>167</v>
      </c>
      <c r="G60" s="37" t="s">
        <v>167</v>
      </c>
      <c r="H60" s="47" t="s">
        <v>169</v>
      </c>
      <c r="I60" s="38" t="s">
        <v>168</v>
      </c>
      <c r="J60" s="39" t="s">
        <v>175</v>
      </c>
      <c r="K60" s="29"/>
      <c r="L60" s="33"/>
      <c r="M60" s="33"/>
      <c r="N60" s="33"/>
      <c r="O60" s="33"/>
      <c r="P60" s="33"/>
      <c r="Q60" s="33"/>
      <c r="R60" s="33"/>
      <c r="S60" s="33"/>
      <c r="T60" s="33"/>
    </row>
    <row r="61" spans="1:20" x14ac:dyDescent="0.3">
      <c r="A61" s="27"/>
      <c r="B61" s="34">
        <v>53</v>
      </c>
      <c r="C61" s="35"/>
      <c r="D61" s="35"/>
      <c r="E61" s="35"/>
      <c r="F61" s="35" t="s">
        <v>167</v>
      </c>
      <c r="G61" s="37" t="s">
        <v>167</v>
      </c>
      <c r="H61" s="47" t="s">
        <v>169</v>
      </c>
      <c r="I61" s="38" t="s">
        <v>168</v>
      </c>
      <c r="J61" s="39" t="s">
        <v>175</v>
      </c>
      <c r="K61" s="29"/>
      <c r="L61" s="33"/>
      <c r="M61" s="33"/>
      <c r="N61" s="33"/>
      <c r="O61" s="33"/>
      <c r="P61" s="33"/>
      <c r="Q61" s="33"/>
      <c r="R61" s="33"/>
      <c r="S61" s="33"/>
      <c r="T61" s="33"/>
    </row>
    <row r="62" spans="1:20" x14ac:dyDescent="0.3">
      <c r="A62" s="27"/>
      <c r="B62" s="34">
        <v>54</v>
      </c>
      <c r="C62" s="35"/>
      <c r="D62" s="35"/>
      <c r="E62" s="35"/>
      <c r="F62" s="35" t="s">
        <v>167</v>
      </c>
      <c r="G62" s="37" t="s">
        <v>167</v>
      </c>
      <c r="H62" s="47" t="s">
        <v>169</v>
      </c>
      <c r="I62" s="38" t="s">
        <v>168</v>
      </c>
      <c r="J62" s="39" t="s">
        <v>175</v>
      </c>
      <c r="K62" s="29"/>
      <c r="L62" s="33"/>
      <c r="M62" s="33"/>
      <c r="N62" s="33"/>
      <c r="O62" s="33"/>
      <c r="P62" s="33"/>
      <c r="Q62" s="33"/>
      <c r="R62" s="33"/>
      <c r="S62" s="33"/>
      <c r="T62" s="33"/>
    </row>
    <row r="63" spans="1:20" x14ac:dyDescent="0.3">
      <c r="A63" s="27"/>
      <c r="B63" s="34">
        <v>55</v>
      </c>
      <c r="C63" s="35"/>
      <c r="D63" s="35"/>
      <c r="E63" s="35"/>
      <c r="F63" s="35" t="s">
        <v>167</v>
      </c>
      <c r="G63" s="37" t="s">
        <v>167</v>
      </c>
      <c r="H63" s="47" t="s">
        <v>169</v>
      </c>
      <c r="I63" s="38" t="s">
        <v>168</v>
      </c>
      <c r="J63" s="39" t="s">
        <v>175</v>
      </c>
      <c r="K63" s="29"/>
      <c r="L63" s="33"/>
      <c r="M63" s="33"/>
      <c r="N63" s="33"/>
      <c r="O63" s="33"/>
      <c r="P63" s="33"/>
      <c r="Q63" s="33"/>
      <c r="R63" s="33"/>
      <c r="S63" s="33"/>
      <c r="T63" s="33"/>
    </row>
    <row r="64" spans="1:20" x14ac:dyDescent="0.3">
      <c r="A64" s="27"/>
      <c r="B64" s="34">
        <v>56</v>
      </c>
      <c r="C64" s="35"/>
      <c r="D64" s="35"/>
      <c r="E64" s="35"/>
      <c r="F64" s="35" t="s">
        <v>167</v>
      </c>
      <c r="G64" s="37" t="s">
        <v>167</v>
      </c>
      <c r="H64" s="47" t="s">
        <v>169</v>
      </c>
      <c r="I64" s="38" t="s">
        <v>168</v>
      </c>
      <c r="J64" s="39" t="s">
        <v>175</v>
      </c>
      <c r="K64" s="29"/>
      <c r="L64" s="33"/>
      <c r="M64" s="33"/>
      <c r="N64" s="33"/>
      <c r="O64" s="33"/>
      <c r="P64" s="33"/>
      <c r="Q64" s="33"/>
      <c r="R64" s="33"/>
      <c r="S64" s="33"/>
      <c r="T64" s="33"/>
    </row>
    <row r="65" spans="1:20" x14ac:dyDescent="0.3">
      <c r="A65" s="27"/>
      <c r="B65" s="34">
        <v>57</v>
      </c>
      <c r="C65" s="35"/>
      <c r="D65" s="36"/>
      <c r="E65" s="36"/>
      <c r="F65" s="35" t="s">
        <v>167</v>
      </c>
      <c r="G65" s="37" t="s">
        <v>167</v>
      </c>
      <c r="H65" s="47" t="s">
        <v>169</v>
      </c>
      <c r="I65" s="38" t="s">
        <v>168</v>
      </c>
      <c r="J65" s="39" t="s">
        <v>175</v>
      </c>
      <c r="K65" s="29"/>
      <c r="L65" s="33"/>
      <c r="M65" s="33"/>
      <c r="N65" s="33"/>
      <c r="O65" s="33"/>
      <c r="P65" s="33"/>
      <c r="Q65" s="33"/>
      <c r="R65" s="33"/>
      <c r="S65" s="33"/>
      <c r="T65" s="33"/>
    </row>
    <row r="66" spans="1:20" x14ac:dyDescent="0.3">
      <c r="A66" s="27"/>
      <c r="B66" s="34">
        <v>58</v>
      </c>
      <c r="C66" s="35"/>
      <c r="D66" s="36"/>
      <c r="E66" s="36"/>
      <c r="F66" s="35" t="s">
        <v>167</v>
      </c>
      <c r="G66" s="37" t="s">
        <v>167</v>
      </c>
      <c r="H66" s="47" t="s">
        <v>169</v>
      </c>
      <c r="I66" s="38" t="s">
        <v>168</v>
      </c>
      <c r="J66" s="39" t="s">
        <v>175</v>
      </c>
      <c r="K66" s="29"/>
      <c r="L66" s="33"/>
      <c r="M66" s="33"/>
      <c r="N66" s="33"/>
      <c r="O66" s="33"/>
      <c r="P66" s="33"/>
      <c r="Q66" s="33"/>
      <c r="R66" s="33"/>
      <c r="S66" s="33"/>
      <c r="T66" s="33"/>
    </row>
    <row r="67" spans="1:20" x14ac:dyDescent="0.3">
      <c r="A67" s="27"/>
      <c r="B67" s="34">
        <v>59</v>
      </c>
      <c r="C67" s="35"/>
      <c r="D67" s="36"/>
      <c r="E67" s="36"/>
      <c r="F67" s="35" t="s">
        <v>167</v>
      </c>
      <c r="G67" s="37" t="s">
        <v>167</v>
      </c>
      <c r="H67" s="47" t="s">
        <v>169</v>
      </c>
      <c r="I67" s="38" t="s">
        <v>168</v>
      </c>
      <c r="J67" s="39" t="s">
        <v>175</v>
      </c>
      <c r="K67" s="29"/>
      <c r="L67" s="33"/>
      <c r="M67" s="33"/>
      <c r="N67" s="33"/>
      <c r="O67" s="33"/>
      <c r="P67" s="33"/>
      <c r="Q67" s="33"/>
      <c r="R67" s="33"/>
      <c r="S67" s="33"/>
      <c r="T67" s="33"/>
    </row>
    <row r="68" spans="1:20" x14ac:dyDescent="0.3">
      <c r="A68" s="27"/>
      <c r="B68" s="34">
        <v>60</v>
      </c>
      <c r="C68" s="35"/>
      <c r="D68" s="36"/>
      <c r="E68" s="36"/>
      <c r="F68" s="35" t="s">
        <v>167</v>
      </c>
      <c r="G68" s="37" t="s">
        <v>167</v>
      </c>
      <c r="H68" s="47" t="s">
        <v>169</v>
      </c>
      <c r="I68" s="38" t="s">
        <v>168</v>
      </c>
      <c r="J68" s="39" t="s">
        <v>175</v>
      </c>
      <c r="K68" s="29"/>
      <c r="L68" s="33"/>
      <c r="M68" s="33"/>
      <c r="N68" s="33"/>
      <c r="O68" s="33"/>
      <c r="P68" s="33"/>
      <c r="Q68" s="33"/>
      <c r="R68" s="33"/>
      <c r="S68" s="33"/>
      <c r="T68" s="33"/>
    </row>
    <row r="69" spans="1:20" x14ac:dyDescent="0.3">
      <c r="A69" s="27"/>
      <c r="B69" s="34">
        <v>61</v>
      </c>
      <c r="C69" s="35"/>
      <c r="D69" s="36"/>
      <c r="E69" s="36"/>
      <c r="F69" s="35" t="s">
        <v>167</v>
      </c>
      <c r="G69" s="37" t="s">
        <v>167</v>
      </c>
      <c r="H69" s="47" t="s">
        <v>169</v>
      </c>
      <c r="I69" s="38" t="s">
        <v>168</v>
      </c>
      <c r="J69" s="39" t="s">
        <v>175</v>
      </c>
      <c r="K69" s="29"/>
      <c r="L69" s="33"/>
      <c r="M69" s="33"/>
      <c r="N69" s="33"/>
      <c r="O69" s="33"/>
      <c r="P69" s="33"/>
      <c r="Q69" s="33"/>
      <c r="R69" s="33"/>
      <c r="S69" s="33"/>
      <c r="T69" s="33"/>
    </row>
    <row r="70" spans="1:20" x14ac:dyDescent="0.3">
      <c r="A70" s="27"/>
      <c r="B70" s="34">
        <v>62</v>
      </c>
      <c r="C70" s="35"/>
      <c r="D70" s="36"/>
      <c r="E70" s="36"/>
      <c r="F70" s="35" t="s">
        <v>167</v>
      </c>
      <c r="G70" s="37" t="s">
        <v>167</v>
      </c>
      <c r="H70" s="47" t="s">
        <v>169</v>
      </c>
      <c r="I70" s="38" t="s">
        <v>168</v>
      </c>
      <c r="J70" s="39" t="s">
        <v>175</v>
      </c>
      <c r="K70" s="29"/>
      <c r="L70" s="33"/>
      <c r="M70" s="33"/>
      <c r="N70" s="33"/>
      <c r="O70" s="33"/>
      <c r="P70" s="33"/>
      <c r="Q70" s="33"/>
      <c r="R70" s="33"/>
      <c r="S70" s="33"/>
      <c r="T70" s="33"/>
    </row>
    <row r="71" spans="1:20" x14ac:dyDescent="0.3">
      <c r="A71" s="27"/>
      <c r="B71" s="34">
        <v>63</v>
      </c>
      <c r="C71" s="35"/>
      <c r="D71" s="36"/>
      <c r="E71" s="36"/>
      <c r="F71" s="35" t="s">
        <v>167</v>
      </c>
      <c r="G71" s="37" t="s">
        <v>167</v>
      </c>
      <c r="H71" s="47" t="s">
        <v>169</v>
      </c>
      <c r="I71" s="38" t="s">
        <v>168</v>
      </c>
      <c r="J71" s="39" t="s">
        <v>175</v>
      </c>
      <c r="K71" s="29"/>
      <c r="L71" s="33"/>
      <c r="M71" s="33"/>
      <c r="N71" s="33"/>
      <c r="O71" s="33"/>
      <c r="P71" s="33"/>
      <c r="Q71" s="33"/>
      <c r="R71" s="33"/>
      <c r="S71" s="33"/>
      <c r="T71" s="33"/>
    </row>
    <row r="72" spans="1:20" x14ac:dyDescent="0.3">
      <c r="A72" s="27"/>
      <c r="B72" s="34">
        <v>64</v>
      </c>
      <c r="C72" s="35"/>
      <c r="D72" s="36"/>
      <c r="E72" s="36"/>
      <c r="F72" s="35" t="s">
        <v>167</v>
      </c>
      <c r="G72" s="37" t="s">
        <v>167</v>
      </c>
      <c r="H72" s="47" t="s">
        <v>169</v>
      </c>
      <c r="I72" s="38" t="s">
        <v>168</v>
      </c>
      <c r="J72" s="39" t="s">
        <v>175</v>
      </c>
      <c r="K72" s="29"/>
      <c r="L72" s="33"/>
      <c r="M72" s="33"/>
      <c r="N72" s="33"/>
      <c r="O72" s="33"/>
      <c r="P72" s="33"/>
      <c r="Q72" s="33"/>
      <c r="R72" s="33"/>
      <c r="S72" s="33"/>
      <c r="T72" s="33"/>
    </row>
    <row r="73" spans="1:20" x14ac:dyDescent="0.3">
      <c r="A73" s="27"/>
      <c r="B73" s="34">
        <v>65</v>
      </c>
      <c r="C73" s="35"/>
      <c r="D73" s="36"/>
      <c r="E73" s="36"/>
      <c r="F73" s="35" t="s">
        <v>167</v>
      </c>
      <c r="G73" s="37" t="s">
        <v>167</v>
      </c>
      <c r="H73" s="47" t="s">
        <v>169</v>
      </c>
      <c r="I73" s="38" t="s">
        <v>168</v>
      </c>
      <c r="J73" s="39" t="s">
        <v>175</v>
      </c>
      <c r="K73" s="29"/>
      <c r="L73" s="33"/>
      <c r="M73" s="33"/>
      <c r="N73" s="33"/>
      <c r="O73" s="33"/>
      <c r="P73" s="33"/>
      <c r="Q73" s="33"/>
      <c r="R73" s="33"/>
      <c r="S73" s="33"/>
      <c r="T73" s="33"/>
    </row>
    <row r="74" spans="1:20" x14ac:dyDescent="0.3">
      <c r="A74" s="27"/>
      <c r="B74" s="34">
        <v>66</v>
      </c>
      <c r="C74" s="35"/>
      <c r="D74" s="36"/>
      <c r="E74" s="36"/>
      <c r="F74" s="35" t="s">
        <v>167</v>
      </c>
      <c r="G74" s="37" t="s">
        <v>167</v>
      </c>
      <c r="H74" s="47" t="s">
        <v>169</v>
      </c>
      <c r="I74" s="38" t="s">
        <v>168</v>
      </c>
      <c r="J74" s="39" t="s">
        <v>175</v>
      </c>
      <c r="K74" s="29"/>
      <c r="L74" s="33"/>
      <c r="M74" s="33"/>
      <c r="N74" s="33"/>
      <c r="O74" s="33"/>
      <c r="P74" s="33"/>
      <c r="Q74" s="33"/>
      <c r="R74" s="33"/>
      <c r="S74" s="33"/>
      <c r="T74" s="33"/>
    </row>
    <row r="75" spans="1:20" x14ac:dyDescent="0.3">
      <c r="A75" s="27"/>
      <c r="B75" s="34">
        <v>67</v>
      </c>
      <c r="C75" s="35"/>
      <c r="D75" s="36"/>
      <c r="E75" s="36"/>
      <c r="F75" s="35" t="s">
        <v>167</v>
      </c>
      <c r="G75" s="37" t="s">
        <v>167</v>
      </c>
      <c r="H75" s="47" t="s">
        <v>169</v>
      </c>
      <c r="I75" s="38" t="s">
        <v>168</v>
      </c>
      <c r="J75" s="39" t="s">
        <v>175</v>
      </c>
      <c r="K75" s="29"/>
      <c r="L75" s="33"/>
      <c r="M75" s="33"/>
      <c r="N75" s="33"/>
      <c r="O75" s="33"/>
      <c r="P75" s="33"/>
      <c r="Q75" s="33"/>
      <c r="R75" s="33"/>
      <c r="S75" s="33"/>
      <c r="T75" s="33"/>
    </row>
    <row r="76" spans="1:20" x14ac:dyDescent="0.3">
      <c r="A76" s="27"/>
      <c r="B76" s="34">
        <v>68</v>
      </c>
      <c r="C76" s="35"/>
      <c r="D76" s="36"/>
      <c r="E76" s="36"/>
      <c r="F76" s="35" t="s">
        <v>167</v>
      </c>
      <c r="G76" s="37" t="s">
        <v>167</v>
      </c>
      <c r="H76" s="47" t="s">
        <v>169</v>
      </c>
      <c r="I76" s="38" t="s">
        <v>168</v>
      </c>
      <c r="J76" s="39" t="s">
        <v>175</v>
      </c>
      <c r="K76" s="29"/>
      <c r="L76" s="33"/>
      <c r="M76" s="33"/>
      <c r="N76" s="33"/>
      <c r="O76" s="33"/>
      <c r="P76" s="33"/>
      <c r="Q76" s="33"/>
      <c r="R76" s="33"/>
      <c r="S76" s="33"/>
      <c r="T76" s="33"/>
    </row>
    <row r="77" spans="1:20" x14ac:dyDescent="0.3">
      <c r="A77" s="27"/>
      <c r="B77" s="34">
        <v>69</v>
      </c>
      <c r="C77" s="35"/>
      <c r="D77" s="36"/>
      <c r="E77" s="36"/>
      <c r="F77" s="35" t="s">
        <v>167</v>
      </c>
      <c r="G77" s="37" t="s">
        <v>167</v>
      </c>
      <c r="H77" s="47" t="s">
        <v>169</v>
      </c>
      <c r="I77" s="38" t="s">
        <v>168</v>
      </c>
      <c r="J77" s="39" t="s">
        <v>175</v>
      </c>
      <c r="K77" s="29"/>
      <c r="L77" s="33"/>
      <c r="M77" s="33"/>
      <c r="N77" s="33"/>
      <c r="O77" s="33"/>
      <c r="P77" s="33"/>
      <c r="Q77" s="33"/>
      <c r="R77" s="33"/>
      <c r="S77" s="33"/>
      <c r="T77" s="33"/>
    </row>
    <row r="78" spans="1:20" x14ac:dyDescent="0.3">
      <c r="A78" s="27"/>
      <c r="B78" s="34">
        <v>70</v>
      </c>
      <c r="C78" s="35"/>
      <c r="D78" s="36"/>
      <c r="E78" s="36"/>
      <c r="F78" s="35" t="s">
        <v>167</v>
      </c>
      <c r="G78" s="37" t="s">
        <v>167</v>
      </c>
      <c r="H78" s="47" t="s">
        <v>169</v>
      </c>
      <c r="I78" s="38" t="s">
        <v>168</v>
      </c>
      <c r="J78" s="39" t="s">
        <v>175</v>
      </c>
      <c r="K78" s="29"/>
      <c r="L78" s="33"/>
      <c r="M78" s="33"/>
      <c r="N78" s="33"/>
      <c r="O78" s="33"/>
      <c r="P78" s="33"/>
      <c r="Q78" s="33"/>
      <c r="R78" s="33"/>
      <c r="S78" s="33"/>
      <c r="T78" s="33"/>
    </row>
    <row r="79" spans="1:20" x14ac:dyDescent="0.3">
      <c r="A79" s="27"/>
      <c r="B79" s="34">
        <v>71</v>
      </c>
      <c r="C79" s="35"/>
      <c r="D79" s="36"/>
      <c r="E79" s="36"/>
      <c r="F79" s="35" t="s">
        <v>167</v>
      </c>
      <c r="G79" s="37" t="s">
        <v>167</v>
      </c>
      <c r="H79" s="47" t="s">
        <v>169</v>
      </c>
      <c r="I79" s="38" t="s">
        <v>168</v>
      </c>
      <c r="J79" s="39" t="s">
        <v>175</v>
      </c>
      <c r="K79" s="29"/>
      <c r="L79" s="33"/>
      <c r="M79" s="33"/>
      <c r="N79" s="33"/>
      <c r="O79" s="33"/>
      <c r="P79" s="33"/>
      <c r="Q79" s="33"/>
      <c r="R79" s="33"/>
      <c r="S79" s="33"/>
      <c r="T79" s="33"/>
    </row>
    <row r="80" spans="1:20" x14ac:dyDescent="0.3">
      <c r="A80" s="27"/>
      <c r="B80" s="34">
        <v>72</v>
      </c>
      <c r="C80" s="35"/>
      <c r="D80" s="35"/>
      <c r="E80" s="36"/>
      <c r="F80" s="35" t="s">
        <v>167</v>
      </c>
      <c r="G80" s="37" t="s">
        <v>167</v>
      </c>
      <c r="H80" s="47" t="s">
        <v>169</v>
      </c>
      <c r="I80" s="38" t="s">
        <v>168</v>
      </c>
      <c r="J80" s="39" t="s">
        <v>175</v>
      </c>
      <c r="K80" s="29"/>
      <c r="L80" s="33"/>
      <c r="M80" s="33"/>
      <c r="N80" s="33"/>
      <c r="O80" s="33"/>
      <c r="P80" s="33"/>
      <c r="Q80" s="33"/>
      <c r="R80" s="33"/>
      <c r="S80" s="33"/>
      <c r="T80" s="33"/>
    </row>
    <row r="81" spans="1:20" x14ac:dyDescent="0.3">
      <c r="A81" s="27"/>
      <c r="B81" s="34">
        <v>73</v>
      </c>
      <c r="C81" s="35"/>
      <c r="D81" s="35"/>
      <c r="E81" s="36"/>
      <c r="F81" s="35" t="s">
        <v>167</v>
      </c>
      <c r="G81" s="37" t="s">
        <v>167</v>
      </c>
      <c r="H81" s="47" t="s">
        <v>169</v>
      </c>
      <c r="I81" s="38" t="s">
        <v>168</v>
      </c>
      <c r="J81" s="39" t="s">
        <v>175</v>
      </c>
      <c r="K81" s="29"/>
      <c r="L81" s="33"/>
      <c r="M81" s="33"/>
      <c r="N81" s="33"/>
      <c r="O81" s="33"/>
      <c r="P81" s="33"/>
      <c r="Q81" s="33"/>
      <c r="R81" s="33"/>
      <c r="S81" s="33"/>
      <c r="T81" s="33"/>
    </row>
    <row r="82" spans="1:20" x14ac:dyDescent="0.3">
      <c r="A82" s="27"/>
      <c r="B82" s="34">
        <v>74</v>
      </c>
      <c r="C82" s="35"/>
      <c r="D82" s="35"/>
      <c r="E82" s="36"/>
      <c r="F82" s="35" t="s">
        <v>167</v>
      </c>
      <c r="G82" s="37" t="s">
        <v>167</v>
      </c>
      <c r="H82" s="47" t="s">
        <v>169</v>
      </c>
      <c r="I82" s="38" t="s">
        <v>168</v>
      </c>
      <c r="J82" s="39" t="s">
        <v>175</v>
      </c>
      <c r="K82" s="29"/>
      <c r="L82" s="33"/>
      <c r="M82" s="33"/>
      <c r="N82" s="33"/>
      <c r="O82" s="33"/>
      <c r="P82" s="33"/>
      <c r="Q82" s="33"/>
      <c r="R82" s="33"/>
      <c r="S82" s="33"/>
      <c r="T82" s="33"/>
    </row>
    <row r="83" spans="1:20" x14ac:dyDescent="0.3">
      <c r="A83" s="27"/>
      <c r="B83" s="34">
        <v>75</v>
      </c>
      <c r="C83" s="35"/>
      <c r="D83" s="35"/>
      <c r="E83" s="36"/>
      <c r="F83" s="35" t="s">
        <v>167</v>
      </c>
      <c r="G83" s="37" t="s">
        <v>167</v>
      </c>
      <c r="H83" s="47" t="s">
        <v>169</v>
      </c>
      <c r="I83" s="38" t="s">
        <v>168</v>
      </c>
      <c r="J83" s="39" t="s">
        <v>175</v>
      </c>
      <c r="K83" s="29"/>
      <c r="L83" s="33"/>
      <c r="M83" s="33"/>
      <c r="N83" s="33"/>
      <c r="O83" s="33"/>
      <c r="P83" s="33"/>
      <c r="Q83" s="33"/>
      <c r="R83" s="33"/>
      <c r="S83" s="33"/>
      <c r="T83" s="33"/>
    </row>
    <row r="84" spans="1:20" x14ac:dyDescent="0.3">
      <c r="A84" s="27"/>
      <c r="B84" s="34">
        <v>76</v>
      </c>
      <c r="C84" s="35"/>
      <c r="D84" s="35"/>
      <c r="E84" s="36"/>
      <c r="F84" s="35" t="s">
        <v>167</v>
      </c>
      <c r="G84" s="37" t="s">
        <v>167</v>
      </c>
      <c r="H84" s="47" t="s">
        <v>169</v>
      </c>
      <c r="I84" s="38" t="s">
        <v>168</v>
      </c>
      <c r="J84" s="39" t="s">
        <v>175</v>
      </c>
      <c r="K84" s="29"/>
      <c r="L84" s="33"/>
      <c r="M84" s="33"/>
      <c r="N84" s="33"/>
      <c r="O84" s="33"/>
      <c r="P84" s="33"/>
      <c r="Q84" s="33"/>
      <c r="R84" s="33"/>
      <c r="S84" s="33"/>
      <c r="T84" s="33"/>
    </row>
    <row r="85" spans="1:20" x14ac:dyDescent="0.3">
      <c r="A85" s="27"/>
      <c r="B85" s="34">
        <v>77</v>
      </c>
      <c r="C85" s="35"/>
      <c r="D85" s="35"/>
      <c r="E85" s="36"/>
      <c r="F85" s="35" t="s">
        <v>167</v>
      </c>
      <c r="G85" s="37" t="s">
        <v>167</v>
      </c>
      <c r="H85" s="47" t="s">
        <v>169</v>
      </c>
      <c r="I85" s="38" t="s">
        <v>168</v>
      </c>
      <c r="J85" s="39" t="s">
        <v>175</v>
      </c>
      <c r="K85" s="29"/>
      <c r="L85" s="33"/>
      <c r="M85" s="33"/>
      <c r="N85" s="33"/>
      <c r="O85" s="33"/>
      <c r="P85" s="33"/>
      <c r="Q85" s="33"/>
      <c r="R85" s="33"/>
      <c r="S85" s="33"/>
      <c r="T85" s="33"/>
    </row>
    <row r="86" spans="1:20" x14ac:dyDescent="0.3">
      <c r="A86" s="27"/>
      <c r="B86" s="34">
        <v>78</v>
      </c>
      <c r="C86" s="35"/>
      <c r="D86" s="35"/>
      <c r="E86" s="36"/>
      <c r="F86" s="35" t="s">
        <v>167</v>
      </c>
      <c r="G86" s="37" t="s">
        <v>167</v>
      </c>
      <c r="H86" s="47" t="s">
        <v>169</v>
      </c>
      <c r="I86" s="38" t="s">
        <v>168</v>
      </c>
      <c r="J86" s="39" t="s">
        <v>175</v>
      </c>
      <c r="K86" s="29"/>
      <c r="L86" s="33"/>
      <c r="M86" s="33"/>
      <c r="N86" s="33"/>
      <c r="O86" s="33"/>
      <c r="P86" s="33"/>
      <c r="Q86" s="33"/>
      <c r="R86" s="33"/>
      <c r="S86" s="33"/>
      <c r="T86" s="33"/>
    </row>
    <row r="87" spans="1:20" x14ac:dyDescent="0.3">
      <c r="A87" s="27"/>
      <c r="B87" s="34">
        <v>79</v>
      </c>
      <c r="C87" s="35"/>
      <c r="D87" s="35"/>
      <c r="E87" s="36"/>
      <c r="F87" s="35" t="s">
        <v>167</v>
      </c>
      <c r="G87" s="37" t="s">
        <v>167</v>
      </c>
      <c r="H87" s="47" t="s">
        <v>169</v>
      </c>
      <c r="I87" s="38" t="s">
        <v>168</v>
      </c>
      <c r="J87" s="39" t="s">
        <v>175</v>
      </c>
      <c r="K87" s="29"/>
      <c r="L87" s="33"/>
      <c r="M87" s="33"/>
      <c r="N87" s="33"/>
      <c r="O87" s="33"/>
      <c r="P87" s="33"/>
      <c r="Q87" s="33"/>
      <c r="R87" s="33"/>
      <c r="S87" s="33"/>
      <c r="T87" s="33"/>
    </row>
    <row r="88" spans="1:20" x14ac:dyDescent="0.3">
      <c r="A88" s="27"/>
      <c r="B88" s="34">
        <v>80</v>
      </c>
      <c r="C88" s="35"/>
      <c r="D88" s="35"/>
      <c r="E88" s="36"/>
      <c r="F88" s="35" t="s">
        <v>167</v>
      </c>
      <c r="G88" s="37" t="s">
        <v>167</v>
      </c>
      <c r="H88" s="47" t="s">
        <v>169</v>
      </c>
      <c r="I88" s="38" t="s">
        <v>168</v>
      </c>
      <c r="J88" s="39" t="s">
        <v>175</v>
      </c>
      <c r="K88" s="29"/>
      <c r="L88" s="33"/>
      <c r="M88" s="33"/>
      <c r="N88" s="33"/>
      <c r="O88" s="33"/>
      <c r="P88" s="33"/>
      <c r="Q88" s="33"/>
      <c r="R88" s="33"/>
      <c r="S88" s="33"/>
      <c r="T88" s="33"/>
    </row>
    <row r="89" spans="1:20" x14ac:dyDescent="0.3">
      <c r="A89" s="27"/>
      <c r="B89" s="34">
        <v>81</v>
      </c>
      <c r="C89" s="35"/>
      <c r="D89" s="35"/>
      <c r="E89" s="36"/>
      <c r="F89" s="35" t="s">
        <v>167</v>
      </c>
      <c r="G89" s="37" t="s">
        <v>167</v>
      </c>
      <c r="H89" s="47" t="s">
        <v>169</v>
      </c>
      <c r="I89" s="38" t="s">
        <v>168</v>
      </c>
      <c r="J89" s="39" t="s">
        <v>175</v>
      </c>
      <c r="K89" s="29"/>
      <c r="L89" s="33"/>
      <c r="M89" s="33"/>
      <c r="N89" s="33"/>
      <c r="O89" s="33"/>
      <c r="P89" s="33"/>
      <c r="Q89" s="33"/>
      <c r="R89" s="33"/>
      <c r="S89" s="33"/>
      <c r="T89" s="33"/>
    </row>
    <row r="90" spans="1:20" x14ac:dyDescent="0.3">
      <c r="A90" s="27"/>
      <c r="B90" s="34">
        <v>82</v>
      </c>
      <c r="C90" s="35"/>
      <c r="D90" s="35"/>
      <c r="E90" s="36"/>
      <c r="F90" s="35" t="s">
        <v>167</v>
      </c>
      <c r="G90" s="37" t="s">
        <v>167</v>
      </c>
      <c r="H90" s="47" t="s">
        <v>169</v>
      </c>
      <c r="I90" s="38" t="s">
        <v>168</v>
      </c>
      <c r="J90" s="39" t="s">
        <v>175</v>
      </c>
      <c r="K90" s="29"/>
      <c r="L90" s="33"/>
      <c r="M90" s="33"/>
      <c r="N90" s="33"/>
      <c r="O90" s="33"/>
      <c r="P90" s="33"/>
      <c r="Q90" s="33"/>
      <c r="R90" s="33"/>
      <c r="S90" s="33"/>
      <c r="T90" s="33"/>
    </row>
    <row r="91" spans="1:20" x14ac:dyDescent="0.3">
      <c r="A91" s="27"/>
      <c r="B91" s="34">
        <v>83</v>
      </c>
      <c r="C91" s="35"/>
      <c r="D91" s="35"/>
      <c r="E91" s="36"/>
      <c r="F91" s="35" t="s">
        <v>167</v>
      </c>
      <c r="G91" s="37" t="s">
        <v>167</v>
      </c>
      <c r="H91" s="47" t="s">
        <v>169</v>
      </c>
      <c r="I91" s="38" t="s">
        <v>168</v>
      </c>
      <c r="J91" s="39" t="s">
        <v>175</v>
      </c>
      <c r="K91" s="29"/>
      <c r="L91" s="33"/>
      <c r="M91" s="33"/>
      <c r="N91" s="33"/>
      <c r="O91" s="33"/>
      <c r="P91" s="33"/>
      <c r="Q91" s="33"/>
      <c r="R91" s="33"/>
      <c r="S91" s="33"/>
      <c r="T91" s="33"/>
    </row>
    <row r="92" spans="1:20" x14ac:dyDescent="0.3">
      <c r="A92" s="27"/>
      <c r="B92" s="34">
        <v>84</v>
      </c>
      <c r="C92" s="35"/>
      <c r="D92" s="35"/>
      <c r="E92" s="36"/>
      <c r="F92" s="35" t="s">
        <v>167</v>
      </c>
      <c r="G92" s="37" t="s">
        <v>167</v>
      </c>
      <c r="H92" s="47" t="s">
        <v>169</v>
      </c>
      <c r="I92" s="38" t="s">
        <v>168</v>
      </c>
      <c r="J92" s="39" t="s">
        <v>175</v>
      </c>
      <c r="K92" s="29"/>
      <c r="L92" s="33"/>
      <c r="M92" s="33"/>
      <c r="N92" s="33"/>
      <c r="O92" s="33"/>
      <c r="P92" s="33"/>
      <c r="Q92" s="33"/>
      <c r="R92" s="33"/>
      <c r="S92" s="33"/>
      <c r="T92" s="33"/>
    </row>
    <row r="93" spans="1:20" x14ac:dyDescent="0.3">
      <c r="A93" s="27"/>
      <c r="B93" s="34">
        <v>85</v>
      </c>
      <c r="C93" s="35"/>
      <c r="D93" s="35"/>
      <c r="E93" s="36"/>
      <c r="F93" s="35" t="s">
        <v>167</v>
      </c>
      <c r="G93" s="37" t="s">
        <v>167</v>
      </c>
      <c r="H93" s="47" t="s">
        <v>169</v>
      </c>
      <c r="I93" s="38" t="s">
        <v>168</v>
      </c>
      <c r="J93" s="39" t="s">
        <v>175</v>
      </c>
      <c r="K93" s="29"/>
      <c r="L93" s="33"/>
      <c r="M93" s="33"/>
      <c r="N93" s="33"/>
      <c r="O93" s="33"/>
      <c r="P93" s="33"/>
      <c r="Q93" s="33"/>
      <c r="R93" s="33"/>
      <c r="S93" s="33"/>
      <c r="T93" s="33"/>
    </row>
    <row r="94" spans="1:20" x14ac:dyDescent="0.3">
      <c r="A94" s="27"/>
      <c r="B94" s="34">
        <v>86</v>
      </c>
      <c r="C94" s="35"/>
      <c r="D94" s="35"/>
      <c r="E94" s="36"/>
      <c r="F94" s="35" t="s">
        <v>167</v>
      </c>
      <c r="G94" s="37" t="s">
        <v>167</v>
      </c>
      <c r="H94" s="47" t="s">
        <v>169</v>
      </c>
      <c r="I94" s="38" t="s">
        <v>168</v>
      </c>
      <c r="J94" s="39" t="s">
        <v>175</v>
      </c>
      <c r="K94" s="29"/>
      <c r="L94" s="33"/>
      <c r="M94" s="33"/>
      <c r="N94" s="33"/>
      <c r="O94" s="33"/>
      <c r="P94" s="33"/>
      <c r="Q94" s="33"/>
      <c r="R94" s="33"/>
      <c r="S94" s="33"/>
      <c r="T94" s="33"/>
    </row>
    <row r="95" spans="1:20" x14ac:dyDescent="0.3">
      <c r="A95" s="27"/>
      <c r="B95" s="34">
        <v>87</v>
      </c>
      <c r="C95" s="35"/>
      <c r="D95" s="35"/>
      <c r="E95" s="36"/>
      <c r="F95" s="35" t="s">
        <v>167</v>
      </c>
      <c r="G95" s="37" t="s">
        <v>167</v>
      </c>
      <c r="H95" s="47" t="s">
        <v>169</v>
      </c>
      <c r="I95" s="38" t="s">
        <v>168</v>
      </c>
      <c r="J95" s="39" t="s">
        <v>175</v>
      </c>
      <c r="K95" s="29"/>
      <c r="L95" s="33"/>
      <c r="M95" s="33"/>
      <c r="N95" s="33"/>
      <c r="O95" s="33"/>
      <c r="P95" s="33"/>
      <c r="Q95" s="33"/>
      <c r="R95" s="33"/>
      <c r="S95" s="33"/>
      <c r="T95" s="33"/>
    </row>
    <row r="96" spans="1:20" x14ac:dyDescent="0.3">
      <c r="A96" s="27"/>
      <c r="B96" s="34">
        <v>88</v>
      </c>
      <c r="C96" s="35"/>
      <c r="D96" s="35"/>
      <c r="E96" s="36"/>
      <c r="F96" s="35" t="s">
        <v>167</v>
      </c>
      <c r="G96" s="37" t="s">
        <v>167</v>
      </c>
      <c r="H96" s="47" t="s">
        <v>169</v>
      </c>
      <c r="I96" s="38" t="s">
        <v>168</v>
      </c>
      <c r="J96" s="39" t="s">
        <v>175</v>
      </c>
      <c r="K96" s="29"/>
      <c r="L96" s="33"/>
      <c r="M96" s="33"/>
      <c r="N96" s="33"/>
      <c r="O96" s="33"/>
      <c r="P96" s="33"/>
      <c r="Q96" s="33"/>
      <c r="R96" s="33"/>
      <c r="S96" s="33"/>
      <c r="T96" s="33"/>
    </row>
    <row r="97" spans="1:20" x14ac:dyDescent="0.3">
      <c r="A97" s="27"/>
      <c r="B97" s="34">
        <v>89</v>
      </c>
      <c r="C97" s="35"/>
      <c r="D97" s="35"/>
      <c r="E97" s="36"/>
      <c r="F97" s="35" t="s">
        <v>167</v>
      </c>
      <c r="G97" s="37" t="s">
        <v>167</v>
      </c>
      <c r="H97" s="47" t="s">
        <v>169</v>
      </c>
      <c r="I97" s="38" t="s">
        <v>168</v>
      </c>
      <c r="J97" s="39" t="s">
        <v>175</v>
      </c>
      <c r="K97" s="29"/>
      <c r="L97" s="33"/>
      <c r="M97" s="33"/>
      <c r="N97" s="33"/>
      <c r="O97" s="33"/>
      <c r="P97" s="33"/>
      <c r="Q97" s="33"/>
      <c r="R97" s="33"/>
      <c r="S97" s="33"/>
      <c r="T97" s="33"/>
    </row>
    <row r="98" spans="1:20" x14ac:dyDescent="0.3">
      <c r="A98" s="27"/>
      <c r="B98" s="34">
        <v>90</v>
      </c>
      <c r="C98" s="35"/>
      <c r="D98" s="35"/>
      <c r="E98" s="36"/>
      <c r="F98" s="35" t="s">
        <v>167</v>
      </c>
      <c r="G98" s="37" t="s">
        <v>167</v>
      </c>
      <c r="H98" s="47" t="s">
        <v>169</v>
      </c>
      <c r="I98" s="38" t="s">
        <v>168</v>
      </c>
      <c r="J98" s="39" t="s">
        <v>175</v>
      </c>
      <c r="K98" s="29"/>
      <c r="L98" s="33"/>
      <c r="M98" s="33"/>
      <c r="N98" s="33"/>
      <c r="O98" s="33"/>
      <c r="P98" s="33"/>
      <c r="Q98" s="33"/>
      <c r="R98" s="33"/>
      <c r="S98" s="33"/>
      <c r="T98" s="33"/>
    </row>
    <row r="99" spans="1:20" x14ac:dyDescent="0.3">
      <c r="A99" s="27"/>
      <c r="B99" s="34">
        <v>91</v>
      </c>
      <c r="C99" s="35"/>
      <c r="D99" s="35"/>
      <c r="E99" s="36"/>
      <c r="F99" s="35" t="s">
        <v>167</v>
      </c>
      <c r="G99" s="37" t="s">
        <v>167</v>
      </c>
      <c r="H99" s="47" t="s">
        <v>169</v>
      </c>
      <c r="I99" s="38" t="s">
        <v>168</v>
      </c>
      <c r="J99" s="39" t="s">
        <v>175</v>
      </c>
      <c r="K99" s="29"/>
      <c r="L99" s="33"/>
      <c r="M99" s="33"/>
      <c r="N99" s="33"/>
      <c r="O99" s="33"/>
      <c r="P99" s="33"/>
      <c r="Q99" s="33"/>
      <c r="R99" s="33"/>
      <c r="S99" s="33"/>
      <c r="T99" s="33"/>
    </row>
    <row r="100" spans="1:20" x14ac:dyDescent="0.3">
      <c r="A100" s="27"/>
      <c r="B100" s="34">
        <v>92</v>
      </c>
      <c r="C100" s="35"/>
      <c r="D100" s="35"/>
      <c r="E100" s="36"/>
      <c r="F100" s="35" t="s">
        <v>167</v>
      </c>
      <c r="G100" s="37" t="s">
        <v>167</v>
      </c>
      <c r="H100" s="47" t="s">
        <v>169</v>
      </c>
      <c r="I100" s="38" t="s">
        <v>168</v>
      </c>
      <c r="J100" s="39" t="s">
        <v>175</v>
      </c>
      <c r="K100" s="29"/>
      <c r="L100" s="33"/>
      <c r="M100" s="33"/>
      <c r="N100" s="33"/>
      <c r="O100" s="33"/>
      <c r="P100" s="33"/>
      <c r="Q100" s="33"/>
      <c r="R100" s="33"/>
      <c r="S100" s="33"/>
      <c r="T100" s="33"/>
    </row>
    <row r="101" spans="1:20" x14ac:dyDescent="0.3">
      <c r="A101" s="27"/>
      <c r="B101" s="34">
        <v>93</v>
      </c>
      <c r="C101" s="35"/>
      <c r="D101" s="35"/>
      <c r="E101" s="36"/>
      <c r="F101" s="35" t="s">
        <v>167</v>
      </c>
      <c r="G101" s="37" t="s">
        <v>167</v>
      </c>
      <c r="H101" s="47" t="s">
        <v>169</v>
      </c>
      <c r="I101" s="38" t="s">
        <v>168</v>
      </c>
      <c r="J101" s="39" t="s">
        <v>175</v>
      </c>
      <c r="K101" s="29"/>
      <c r="L101" s="33"/>
      <c r="M101" s="33"/>
      <c r="N101" s="33"/>
      <c r="O101" s="33"/>
      <c r="P101" s="33"/>
      <c r="Q101" s="33"/>
      <c r="R101" s="33"/>
      <c r="S101" s="33"/>
      <c r="T101" s="33"/>
    </row>
    <row r="102" spans="1:20" x14ac:dyDescent="0.3">
      <c r="A102" s="27"/>
      <c r="B102" s="34">
        <v>94</v>
      </c>
      <c r="C102" s="35"/>
      <c r="D102" s="35"/>
      <c r="E102" s="36"/>
      <c r="F102" s="35" t="s">
        <v>167</v>
      </c>
      <c r="G102" s="37" t="s">
        <v>167</v>
      </c>
      <c r="H102" s="47" t="s">
        <v>169</v>
      </c>
      <c r="I102" s="38" t="s">
        <v>168</v>
      </c>
      <c r="J102" s="39" t="s">
        <v>175</v>
      </c>
      <c r="K102" s="29"/>
      <c r="L102" s="33"/>
      <c r="M102" s="33"/>
      <c r="N102" s="33"/>
      <c r="O102" s="33"/>
      <c r="P102" s="33"/>
      <c r="Q102" s="33"/>
      <c r="R102" s="33"/>
      <c r="S102" s="33"/>
      <c r="T102" s="33"/>
    </row>
    <row r="103" spans="1:20" x14ac:dyDescent="0.3">
      <c r="A103" s="27"/>
      <c r="B103" s="34">
        <v>95</v>
      </c>
      <c r="C103" s="35"/>
      <c r="D103" s="35"/>
      <c r="E103" s="36"/>
      <c r="F103" s="35" t="s">
        <v>167</v>
      </c>
      <c r="G103" s="37" t="s">
        <v>167</v>
      </c>
      <c r="H103" s="47" t="s">
        <v>169</v>
      </c>
      <c r="I103" s="38" t="s">
        <v>168</v>
      </c>
      <c r="J103" s="39" t="s">
        <v>175</v>
      </c>
      <c r="K103" s="29"/>
      <c r="L103" s="33"/>
      <c r="M103" s="33"/>
      <c r="N103" s="33"/>
      <c r="O103" s="33"/>
      <c r="P103" s="33"/>
      <c r="Q103" s="33"/>
      <c r="R103" s="33"/>
      <c r="S103" s="33"/>
      <c r="T103" s="33"/>
    </row>
    <row r="104" spans="1:20" x14ac:dyDescent="0.3">
      <c r="A104" s="27"/>
      <c r="B104" s="34">
        <v>96</v>
      </c>
      <c r="C104" s="35"/>
      <c r="D104" s="35"/>
      <c r="E104" s="36"/>
      <c r="F104" s="35" t="s">
        <v>167</v>
      </c>
      <c r="G104" s="37" t="s">
        <v>167</v>
      </c>
      <c r="H104" s="47" t="s">
        <v>169</v>
      </c>
      <c r="I104" s="38" t="s">
        <v>168</v>
      </c>
      <c r="J104" s="39" t="s">
        <v>175</v>
      </c>
      <c r="K104" s="29"/>
      <c r="L104" s="33"/>
      <c r="M104" s="33"/>
      <c r="N104" s="33"/>
      <c r="O104" s="33"/>
      <c r="P104" s="33"/>
      <c r="Q104" s="33"/>
      <c r="R104" s="33"/>
      <c r="S104" s="33"/>
      <c r="T104" s="33"/>
    </row>
    <row r="105" spans="1:20" x14ac:dyDescent="0.3">
      <c r="A105" s="27"/>
      <c r="B105" s="34">
        <v>97</v>
      </c>
      <c r="C105" s="35"/>
      <c r="D105" s="35"/>
      <c r="E105" s="36"/>
      <c r="F105" s="35" t="s">
        <v>167</v>
      </c>
      <c r="G105" s="37" t="s">
        <v>167</v>
      </c>
      <c r="H105" s="47" t="s">
        <v>169</v>
      </c>
      <c r="I105" s="38" t="s">
        <v>168</v>
      </c>
      <c r="J105" s="39" t="s">
        <v>175</v>
      </c>
      <c r="K105" s="29"/>
      <c r="L105" s="33"/>
      <c r="M105" s="33"/>
      <c r="N105" s="33"/>
      <c r="O105" s="33"/>
      <c r="P105" s="33"/>
      <c r="Q105" s="33"/>
      <c r="R105" s="33"/>
      <c r="S105" s="33"/>
      <c r="T105" s="33"/>
    </row>
    <row r="106" spans="1:20" x14ac:dyDescent="0.3">
      <c r="A106" s="27"/>
      <c r="B106" s="34">
        <v>98</v>
      </c>
      <c r="C106" s="35"/>
      <c r="D106" s="35"/>
      <c r="E106" s="36"/>
      <c r="F106" s="35" t="s">
        <v>167</v>
      </c>
      <c r="G106" s="37" t="s">
        <v>167</v>
      </c>
      <c r="H106" s="47" t="s">
        <v>169</v>
      </c>
      <c r="I106" s="38" t="s">
        <v>168</v>
      </c>
      <c r="J106" s="39" t="s">
        <v>175</v>
      </c>
      <c r="K106" s="29"/>
      <c r="L106" s="33"/>
      <c r="M106" s="33"/>
      <c r="N106" s="33"/>
      <c r="O106" s="33"/>
      <c r="P106" s="33"/>
      <c r="Q106" s="33"/>
      <c r="R106" s="33"/>
      <c r="S106" s="33"/>
      <c r="T106" s="33"/>
    </row>
    <row r="107" spans="1:20" x14ac:dyDescent="0.3">
      <c r="A107" s="27"/>
      <c r="B107" s="34">
        <v>99</v>
      </c>
      <c r="C107" s="35"/>
      <c r="D107" s="35"/>
      <c r="E107" s="36"/>
      <c r="F107" s="35" t="s">
        <v>167</v>
      </c>
      <c r="G107" s="37" t="s">
        <v>167</v>
      </c>
      <c r="H107" s="47" t="s">
        <v>169</v>
      </c>
      <c r="I107" s="38" t="s">
        <v>168</v>
      </c>
      <c r="J107" s="39" t="s">
        <v>175</v>
      </c>
      <c r="K107" s="29"/>
      <c r="L107" s="33"/>
      <c r="M107" s="33"/>
      <c r="N107" s="33"/>
      <c r="O107" s="33"/>
      <c r="P107" s="33"/>
      <c r="Q107" s="33"/>
      <c r="R107" s="33"/>
      <c r="S107" s="33"/>
      <c r="T107" s="33"/>
    </row>
    <row r="108" spans="1:20" ht="15" thickBot="1" x14ac:dyDescent="0.35">
      <c r="A108" s="27"/>
      <c r="B108" s="40">
        <v>100</v>
      </c>
      <c r="C108" s="41"/>
      <c r="D108" s="41"/>
      <c r="E108" s="42"/>
      <c r="F108" s="41" t="s">
        <v>167</v>
      </c>
      <c r="G108" s="43" t="s">
        <v>167</v>
      </c>
      <c r="H108" s="48" t="s">
        <v>169</v>
      </c>
      <c r="I108" s="44" t="s">
        <v>168</v>
      </c>
      <c r="J108" s="45" t="s">
        <v>175</v>
      </c>
      <c r="K108" s="29"/>
      <c r="L108" s="33"/>
      <c r="M108" s="33"/>
      <c r="N108" s="33"/>
      <c r="O108" s="33"/>
      <c r="P108" s="33"/>
      <c r="Q108" s="33"/>
      <c r="R108" s="33"/>
      <c r="S108" s="33"/>
      <c r="T108" s="33"/>
    </row>
    <row r="109" spans="1:20" x14ac:dyDescent="0.3">
      <c r="A109" s="27"/>
      <c r="B109" s="28"/>
      <c r="C109" s="28"/>
      <c r="D109" s="28"/>
      <c r="E109" s="28"/>
      <c r="F109" s="28"/>
      <c r="G109" s="28"/>
      <c r="H109" s="28"/>
      <c r="I109" s="28"/>
      <c r="J109" s="28"/>
      <c r="K109" s="29"/>
      <c r="L109" s="33"/>
      <c r="M109" s="33"/>
      <c r="N109" s="33"/>
      <c r="O109" s="33"/>
      <c r="P109" s="33"/>
      <c r="Q109" s="33"/>
      <c r="R109" s="33"/>
      <c r="S109" s="33"/>
      <c r="T109" s="33"/>
    </row>
    <row r="110" spans="1:20" x14ac:dyDescent="0.3">
      <c r="A110" s="27"/>
      <c r="B110" s="28"/>
      <c r="C110" s="28"/>
      <c r="D110" s="28"/>
      <c r="E110" s="28"/>
      <c r="F110" s="28"/>
      <c r="G110" s="28"/>
      <c r="H110" s="28"/>
      <c r="I110" s="28"/>
      <c r="J110" s="28"/>
      <c r="K110" s="29"/>
      <c r="L110" s="33"/>
      <c r="M110" s="33"/>
      <c r="N110" s="33"/>
      <c r="O110" s="33"/>
      <c r="P110" s="33"/>
      <c r="Q110" s="33"/>
      <c r="R110" s="33"/>
      <c r="S110" s="33"/>
      <c r="T110" s="33"/>
    </row>
    <row r="111" spans="1:20" x14ac:dyDescent="0.3">
      <c r="A111" s="27"/>
      <c r="B111" s="28"/>
      <c r="C111" s="28"/>
      <c r="D111" s="28"/>
      <c r="E111" s="28"/>
      <c r="F111" s="28"/>
      <c r="G111" s="28"/>
      <c r="H111" s="28"/>
      <c r="I111" s="28"/>
      <c r="J111" s="28"/>
      <c r="K111" s="29"/>
      <c r="L111" s="33"/>
      <c r="M111" s="33"/>
      <c r="N111" s="33"/>
      <c r="O111" s="33"/>
      <c r="P111" s="33"/>
      <c r="Q111" s="33"/>
      <c r="R111" s="33"/>
      <c r="S111" s="33"/>
      <c r="T111" s="33"/>
    </row>
    <row r="112" spans="1:20" x14ac:dyDescent="0.3">
      <c r="A112" s="27"/>
      <c r="B112" s="28"/>
      <c r="C112" s="28"/>
      <c r="D112" s="28"/>
      <c r="E112" s="28"/>
      <c r="F112" s="28"/>
      <c r="G112" s="28"/>
      <c r="H112" s="28"/>
      <c r="I112" s="28"/>
      <c r="J112" s="28"/>
      <c r="K112" s="29"/>
      <c r="L112" s="33"/>
      <c r="M112" s="33"/>
      <c r="N112" s="33"/>
      <c r="O112" s="33"/>
      <c r="P112" s="33"/>
      <c r="Q112" s="33"/>
      <c r="R112" s="33"/>
      <c r="S112" s="33"/>
      <c r="T112" s="33"/>
    </row>
    <row r="113" spans="1:20" x14ac:dyDescent="0.3">
      <c r="A113" s="27"/>
      <c r="B113" s="28"/>
      <c r="C113" s="28"/>
      <c r="D113" s="28"/>
      <c r="E113" s="28"/>
      <c r="F113" s="28"/>
      <c r="G113" s="28"/>
      <c r="H113" s="28"/>
      <c r="I113" s="28"/>
      <c r="J113" s="28"/>
      <c r="K113" s="29"/>
      <c r="L113" s="33"/>
      <c r="M113" s="33"/>
      <c r="N113" s="33"/>
      <c r="O113" s="33"/>
      <c r="P113" s="33"/>
      <c r="Q113" s="33"/>
      <c r="R113" s="33"/>
      <c r="S113" s="33"/>
      <c r="T113" s="33"/>
    </row>
    <row r="114" spans="1:20" ht="15" thickBot="1" x14ac:dyDescent="0.35">
      <c r="A114" s="30"/>
      <c r="B114" s="31"/>
      <c r="C114" s="31"/>
      <c r="D114" s="31"/>
      <c r="E114" s="31"/>
      <c r="F114" s="31"/>
      <c r="G114" s="31"/>
      <c r="H114" s="31"/>
      <c r="I114" s="31"/>
      <c r="J114" s="31"/>
      <c r="K114" s="32"/>
      <c r="L114" s="33"/>
      <c r="M114" s="33"/>
      <c r="N114" s="33"/>
      <c r="O114" s="33"/>
      <c r="P114" s="33"/>
      <c r="Q114" s="33"/>
      <c r="R114" s="33"/>
      <c r="S114" s="33"/>
      <c r="T114" s="33"/>
    </row>
    <row r="115" spans="1:20" x14ac:dyDescent="0.3"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</row>
    <row r="116" spans="1:20" x14ac:dyDescent="0.3"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</row>
    <row r="117" spans="1:20" x14ac:dyDescent="0.3"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</row>
    <row r="118" spans="1:20" x14ac:dyDescent="0.3"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</row>
    <row r="119" spans="1:20" x14ac:dyDescent="0.3"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</row>
    <row r="120" spans="1:20" x14ac:dyDescent="0.3"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</row>
    <row r="121" spans="1:20" x14ac:dyDescent="0.3"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</row>
    <row r="122" spans="1:20" x14ac:dyDescent="0.3"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</row>
    <row r="123" spans="1:20" x14ac:dyDescent="0.3"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</row>
    <row r="124" spans="1:20" x14ac:dyDescent="0.3"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</row>
    <row r="125" spans="1:20" x14ac:dyDescent="0.3"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</row>
    <row r="126" spans="1:20" x14ac:dyDescent="0.3"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</row>
    <row r="127" spans="1:20" x14ac:dyDescent="0.3"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</row>
    <row r="128" spans="1:20" x14ac:dyDescent="0.3"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</row>
    <row r="129" spans="2:20" x14ac:dyDescent="0.3"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</row>
    <row r="130" spans="2:20" x14ac:dyDescent="0.3"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</row>
    <row r="131" spans="2:20" x14ac:dyDescent="0.3"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</row>
    <row r="132" spans="2:20" x14ac:dyDescent="0.3"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</row>
    <row r="133" spans="2:20" x14ac:dyDescent="0.3"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</row>
    <row r="134" spans="2:20" x14ac:dyDescent="0.3"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</row>
    <row r="135" spans="2:20" x14ac:dyDescent="0.3"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</row>
    <row r="136" spans="2:20" x14ac:dyDescent="0.3"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</row>
    <row r="137" spans="2:20" x14ac:dyDescent="0.3"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</row>
    <row r="138" spans="2:20" x14ac:dyDescent="0.3"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</row>
    <row r="139" spans="2:20" x14ac:dyDescent="0.3"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</row>
    <row r="140" spans="2:20" x14ac:dyDescent="0.3"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</row>
    <row r="141" spans="2:20" x14ac:dyDescent="0.3"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</row>
  </sheetData>
  <customSheetViews>
    <customSheetView guid="{6FFAB0EA-95EC-4C9A-83AA-FD15748D7B98}" showPageBreaks="1" showGridLines="0" printArea="1">
      <pane ySplit="8" topLeftCell="A9" activePane="bottomLeft" state="frozen"/>
      <selection pane="bottomLeft" sqref="A1:K114"/>
      <pageMargins left="0.7" right="0.7" top="0.75" bottom="0.75" header="0.3" footer="0.3"/>
      <pageSetup paperSize="0" orientation="portrait" horizontalDpi="0" verticalDpi="0" copies="0"/>
    </customSheetView>
  </customSheetViews>
  <mergeCells count="5">
    <mergeCell ref="H8:J8"/>
    <mergeCell ref="C3:D3"/>
    <mergeCell ref="C4:D4"/>
    <mergeCell ref="C5:D5"/>
    <mergeCell ref="F2:G2"/>
  </mergeCells>
  <conditionalFormatting sqref="F65:G108">
    <cfRule type="cellIs" dxfId="27" priority="45" operator="notEqual">
      <formula>"YES"</formula>
    </cfRule>
    <cfRule type="cellIs" dxfId="26" priority="46" operator="equal">
      <formula>"YES"</formula>
    </cfRule>
  </conditionalFormatting>
  <conditionalFormatting sqref="F9:G64">
    <cfRule type="cellIs" dxfId="25" priority="33" operator="notEqual">
      <formula>"YES"</formula>
    </cfRule>
    <cfRule type="cellIs" dxfId="24" priority="34" operator="equal">
      <formula>"YES"</formula>
    </cfRule>
  </conditionalFormatting>
  <conditionalFormatting sqref="F65:F79">
    <cfRule type="cellIs" dxfId="23" priority="31" operator="notEqual">
      <formula>"YES"</formula>
    </cfRule>
    <cfRule type="cellIs" dxfId="22" priority="32" operator="equal">
      <formula>"YES"</formula>
    </cfRule>
  </conditionalFormatting>
  <conditionalFormatting sqref="H2">
    <cfRule type="cellIs" dxfId="1" priority="1" operator="notEqual">
      <formula>"YES"</formula>
    </cfRule>
    <cfRule type="cellIs" dxfId="0" priority="2" operator="equal">
      <formula>"YES"</formula>
    </cfRule>
  </conditionalFormatting>
  <dataValidations count="1">
    <dataValidation type="list" showInputMessage="1" showErrorMessage="1" sqref="H2 F9:G108">
      <formula1>"YES,NO"</formula1>
    </dataValidation>
  </dataValidations>
  <hyperlinks>
    <hyperlink ref="H9" location="rc" display="Clear"/>
    <hyperlink ref="I9" location="rc" display="Update"/>
    <hyperlink ref="H10" location="rc" display="Clear"/>
    <hyperlink ref="H11" location="rc" display="Clear"/>
    <hyperlink ref="H12" location="rc" display="Clear"/>
    <hyperlink ref="H13" location="rc" display="Clear"/>
    <hyperlink ref="H14" location="rc" display="Clear"/>
    <hyperlink ref="H15" location="rc" display="Clear"/>
    <hyperlink ref="H16" location="rc" display="Clear"/>
    <hyperlink ref="I10" location="rc" display="Update"/>
    <hyperlink ref="I11" location="rc" display="Update"/>
    <hyperlink ref="I12" location="rc" display="Update"/>
    <hyperlink ref="I13" location="rc" display="Update"/>
    <hyperlink ref="J9" location="rc" display="Go To Range"/>
    <hyperlink ref="J10" location="rc" display="Go To Range"/>
    <hyperlink ref="J11" location="rc" display="Go To Range"/>
    <hyperlink ref="J12" location="rc" display="Go To Range"/>
    <hyperlink ref="J15" location="rc" display="Go To Range"/>
    <hyperlink ref="J14" location="rc" display="Go To Range"/>
    <hyperlink ref="J13" location="rc" display="Go To Range"/>
    <hyperlink ref="J16" location="rc" display="Go To Range"/>
    <hyperlink ref="J18" location="rc" display="Go To Range"/>
    <hyperlink ref="J21" location="rc" display="Go To Range"/>
    <hyperlink ref="J24" location="rc" display="Go To Range"/>
    <hyperlink ref="J27" location="rc" display="Go To Range"/>
    <hyperlink ref="J30" location="rc" display="Go To Range"/>
    <hyperlink ref="J33" location="rc" display="Go To Range"/>
    <hyperlink ref="J36" location="rc" display="Go To Range"/>
    <hyperlink ref="J39" location="rc" display="Go To Range"/>
    <hyperlink ref="J42" location="rc" display="Go To Range"/>
    <hyperlink ref="J45" location="rc" display="Go To Range"/>
    <hyperlink ref="J48" location="rc" display="Go To Range"/>
    <hyperlink ref="J51" location="rc" display="Go To Range"/>
    <hyperlink ref="J54" location="rc" display="Go To Range"/>
    <hyperlink ref="J57" location="rc" display="Go To Range"/>
    <hyperlink ref="J60" location="rc" display="Go To Range"/>
    <hyperlink ref="J63" location="rc" display="Go To Range"/>
    <hyperlink ref="J66" location="rc" display="Go To Range"/>
    <hyperlink ref="J69" location="rc" display="Go To Range"/>
    <hyperlink ref="J72" location="rc" display="Go To Range"/>
    <hyperlink ref="J75" location="rc" display="Go To Range"/>
    <hyperlink ref="J78" location="rc" display="Go To Range"/>
    <hyperlink ref="J81" location="rc" display="Go To Range"/>
    <hyperlink ref="J84" location="rc" display="Go To Range"/>
    <hyperlink ref="J87" location="rc" display="Go To Range"/>
    <hyperlink ref="J90" location="rc" display="Go To Range"/>
    <hyperlink ref="J93" location="rc" display="Go To Range"/>
    <hyperlink ref="J96" location="rc" display="Go To Range"/>
    <hyperlink ref="J99" location="rc" display="Go To Range"/>
    <hyperlink ref="J102" location="rc" display="Go To Range"/>
    <hyperlink ref="J105" location="rc" display="Go To Range"/>
    <hyperlink ref="J108" location="rc" display="Go To Range"/>
    <hyperlink ref="J17" location="rc" display="Go To Range"/>
    <hyperlink ref="J20" location="rc" display="Go To Range"/>
    <hyperlink ref="J23" location="rc" display="Go To Range"/>
    <hyperlink ref="J26" location="rc" display="Go To Range"/>
    <hyperlink ref="J29" location="rc" display="Go To Range"/>
    <hyperlink ref="J32" location="rc" display="Go To Range"/>
    <hyperlink ref="J35" location="rc" display="Go To Range"/>
    <hyperlink ref="J38" location="rc" display="Go To Range"/>
    <hyperlink ref="J41" location="rc" display="Go To Range"/>
    <hyperlink ref="J44" location="rc" display="Go To Range"/>
    <hyperlink ref="J47" location="rc" display="Go To Range"/>
    <hyperlink ref="J50" location="rc" display="Go To Range"/>
    <hyperlink ref="J53" location="rc" display="Go To Range"/>
    <hyperlink ref="J56" location="rc" display="Go To Range"/>
    <hyperlink ref="J59" location="rc" display="Go To Range"/>
    <hyperlink ref="J62" location="rc" display="Go To Range"/>
    <hyperlink ref="J65" location="rc" display="Go To Range"/>
    <hyperlink ref="J68" location="rc" display="Go To Range"/>
    <hyperlink ref="J71" location="rc" display="Go To Range"/>
    <hyperlink ref="J74" location="rc" display="Go To Range"/>
    <hyperlink ref="J77" location="rc" display="Go To Range"/>
    <hyperlink ref="J80" location="rc" display="Go To Range"/>
    <hyperlink ref="J83" location="rc" display="Go To Range"/>
    <hyperlink ref="J86" location="rc" display="Go To Range"/>
    <hyperlink ref="J89" location="rc" display="Go To Range"/>
    <hyperlink ref="J92" location="rc" display="Go To Range"/>
    <hyperlink ref="J95" location="rc" display="Go To Range"/>
    <hyperlink ref="J98" location="rc" display="Go To Range"/>
    <hyperlink ref="J101" location="rc" display="Go To Range"/>
    <hyperlink ref="J104" location="rc" display="Go To Range"/>
    <hyperlink ref="J107" location="rc" display="Go To Range"/>
    <hyperlink ref="J19" location="rc" display="Go To Range"/>
    <hyperlink ref="J22" location="rc" display="Go To Range"/>
    <hyperlink ref="J25" location="rc" display="Go To Range"/>
    <hyperlink ref="J28" location="rc" display="Go To Range"/>
    <hyperlink ref="J31" location="rc" display="Go To Range"/>
    <hyperlink ref="J34" location="rc" display="Go To Range"/>
    <hyperlink ref="J37" location="rc" display="Go To Range"/>
    <hyperlink ref="J40" location="rc" display="Go To Range"/>
    <hyperlink ref="J43" location="rc" display="Go To Range"/>
    <hyperlink ref="J46" location="rc" display="Go To Range"/>
    <hyperlink ref="J49" location="rc" display="Go To Range"/>
    <hyperlink ref="J52" location="rc" display="Go To Range"/>
    <hyperlink ref="J55" location="rc" display="Go To Range"/>
    <hyperlink ref="J58" location="rc" display="Go To Range"/>
    <hyperlink ref="J61" location="rc" display="Go To Range"/>
    <hyperlink ref="J64" location="rc" display="Go To Range"/>
    <hyperlink ref="J67" location="rc" display="Go To Range"/>
    <hyperlink ref="J70" location="rc" display="Go To Range"/>
    <hyperlink ref="J73" location="rc" display="Go To Range"/>
    <hyperlink ref="J76" location="rc" display="Go To Range"/>
    <hyperlink ref="J79" location="rc" display="Go To Range"/>
    <hyperlink ref="J82" location="rc" display="Go To Range"/>
    <hyperlink ref="J85" location="rc" display="Go To Range"/>
    <hyperlink ref="J88" location="rc" display="Go To Range"/>
    <hyperlink ref="J91" location="rc" display="Go To Range"/>
    <hyperlink ref="J94" location="rc" display="Go To Range"/>
    <hyperlink ref="J97" location="rc" display="Go To Range"/>
    <hyperlink ref="J100" location="rc" display="Go To Range"/>
    <hyperlink ref="J103" location="rc" display="Go To Range"/>
    <hyperlink ref="J106" location="rc" display="Go To Range"/>
    <hyperlink ref="H17" location="rc" display="Clear"/>
    <hyperlink ref="H25" location="rc" display="Clear"/>
    <hyperlink ref="H33" location="rc" display="Clear"/>
    <hyperlink ref="H41" location="rc" display="Clear"/>
    <hyperlink ref="H49" location="rc" display="Clear"/>
    <hyperlink ref="H57" location="rc" display="Clear"/>
    <hyperlink ref="H65" location="rc" display="Clear"/>
    <hyperlink ref="H73" location="rc" display="Clear"/>
    <hyperlink ref="H81" location="rc" display="Clear"/>
    <hyperlink ref="H89" location="rc" display="Clear"/>
    <hyperlink ref="H97" location="rc" display="Clear"/>
    <hyperlink ref="H105" location="rc" display="Clear"/>
    <hyperlink ref="H18" location="rc" display="Clear"/>
    <hyperlink ref="H26" location="rc" display="Clear"/>
    <hyperlink ref="H34" location="rc" display="Clear"/>
    <hyperlink ref="H42" location="rc" display="Clear"/>
    <hyperlink ref="H50" location="rc" display="Clear"/>
    <hyperlink ref="H58" location="rc" display="Clear"/>
    <hyperlink ref="H66" location="rc" display="Clear"/>
    <hyperlink ref="H74" location="rc" display="Clear"/>
    <hyperlink ref="H82" location="rc" display="Clear"/>
    <hyperlink ref="H90" location="rc" display="Clear"/>
    <hyperlink ref="H98" location="rc" display="Clear"/>
    <hyperlink ref="H106" location="rc" display="Clear"/>
    <hyperlink ref="H19" location="rc" display="Clear"/>
    <hyperlink ref="H27" location="rc" display="Clear"/>
    <hyperlink ref="H35" location="rc" display="Clear"/>
    <hyperlink ref="H43" location="rc" display="Clear"/>
    <hyperlink ref="H51" location="rc" display="Clear"/>
    <hyperlink ref="H59" location="rc" display="Clear"/>
    <hyperlink ref="H67" location="rc" display="Clear"/>
    <hyperlink ref="H75" location="rc" display="Clear"/>
    <hyperlink ref="H83" location="rc" display="Clear"/>
    <hyperlink ref="H91" location="rc" display="Clear"/>
    <hyperlink ref="H99" location="rc" display="Clear"/>
    <hyperlink ref="H107" location="rc" display="Clear"/>
    <hyperlink ref="H20" location="rc" display="Clear"/>
    <hyperlink ref="H28" location="rc" display="Clear"/>
    <hyperlink ref="H36" location="rc" display="Clear"/>
    <hyperlink ref="H44" location="rc" display="Clear"/>
    <hyperlink ref="H52" location="rc" display="Clear"/>
    <hyperlink ref="H60" location="rc" display="Clear"/>
    <hyperlink ref="H68" location="rc" display="Clear"/>
    <hyperlink ref="H76" location="rc" display="Clear"/>
    <hyperlink ref="H84" location="rc" display="Clear"/>
    <hyperlink ref="H92" location="rc" display="Clear"/>
    <hyperlink ref="H100" location="rc" display="Clear"/>
    <hyperlink ref="H108" location="rc" display="Clear"/>
    <hyperlink ref="H21" location="rc" display="Clear"/>
    <hyperlink ref="H29" location="rc" display="Clear"/>
    <hyperlink ref="H37" location="rc" display="Clear"/>
    <hyperlink ref="H45" location="rc" display="Clear"/>
    <hyperlink ref="H53" location="rc" display="Clear"/>
    <hyperlink ref="H61" location="rc" display="Clear"/>
    <hyperlink ref="H69" location="rc" display="Clear"/>
    <hyperlink ref="H77" location="rc" display="Clear"/>
    <hyperlink ref="H85" location="rc" display="Clear"/>
    <hyperlink ref="H93" location="rc" display="Clear"/>
    <hyperlink ref="H101" location="rc" display="Clear"/>
    <hyperlink ref="H22" location="rc" display="Clear"/>
    <hyperlink ref="H30" location="rc" display="Clear"/>
    <hyperlink ref="H38" location="rc" display="Clear"/>
    <hyperlink ref="H46" location="rc" display="Clear"/>
    <hyperlink ref="H54" location="rc" display="Clear"/>
    <hyperlink ref="H62" location="rc" display="Clear"/>
    <hyperlink ref="H70" location="rc" display="Clear"/>
    <hyperlink ref="H78" location="rc" display="Clear"/>
    <hyperlink ref="H86" location="rc" display="Clear"/>
    <hyperlink ref="H94" location="rc" display="Clear"/>
    <hyperlink ref="H102" location="rc" display="Clear"/>
    <hyperlink ref="H23" location="rc" display="Clear"/>
    <hyperlink ref="H31" location="rc" display="Clear"/>
    <hyperlink ref="H39" location="rc" display="Clear"/>
    <hyperlink ref="H47" location="rc" display="Clear"/>
    <hyperlink ref="H55" location="rc" display="Clear"/>
    <hyperlink ref="H63" location="rc" display="Clear"/>
    <hyperlink ref="H71" location="rc" display="Clear"/>
    <hyperlink ref="H79" location="rc" display="Clear"/>
    <hyperlink ref="H87" location="rc" display="Clear"/>
    <hyperlink ref="H95" location="rc" display="Clear"/>
    <hyperlink ref="H103" location="rc" display="Clear"/>
    <hyperlink ref="H24" location="rc" display="Clear"/>
    <hyperlink ref="H32" location="rc" display="Clear"/>
    <hyperlink ref="H40" location="rc" display="Clear"/>
    <hyperlink ref="H48" location="rc" display="Clear"/>
    <hyperlink ref="H56" location="rc" display="Clear"/>
    <hyperlink ref="H64" location="rc" display="Clear"/>
    <hyperlink ref="H72" location="rc" display="Clear"/>
    <hyperlink ref="H80" location="rc" display="Clear"/>
    <hyperlink ref="H88" location="rc" display="Clear"/>
    <hyperlink ref="H96" location="rc" display="Clear"/>
    <hyperlink ref="H104" location="rc" display="Clear"/>
    <hyperlink ref="I14" location="rc" display="Update"/>
    <hyperlink ref="I19" location="rc" display="Update"/>
    <hyperlink ref="I24" location="rc" display="Update"/>
    <hyperlink ref="I29" location="rc" display="Update"/>
    <hyperlink ref="I34" location="rc" display="Update"/>
    <hyperlink ref="I39" location="rc" display="Update"/>
    <hyperlink ref="I44" location="rc" display="Update"/>
    <hyperlink ref="I49" location="rc" display="Update"/>
    <hyperlink ref="I54" location="rc" display="Update"/>
    <hyperlink ref="I59" location="rc" display="Update"/>
    <hyperlink ref="I64" location="rc" display="Update"/>
    <hyperlink ref="I69" location="rc" display="Update"/>
    <hyperlink ref="I74" location="rc" display="Update"/>
    <hyperlink ref="I79" location="rc" display="Update"/>
    <hyperlink ref="I84" location="rc" display="Update"/>
    <hyperlink ref="I89" location="rc" display="Update"/>
    <hyperlink ref="I94" location="rc" display="Update"/>
    <hyperlink ref="I99" location="rc" display="Update"/>
    <hyperlink ref="I104" location="rc" display="Update"/>
    <hyperlink ref="I15" location="rc" display="Update"/>
    <hyperlink ref="I20" location="rc" display="Update"/>
    <hyperlink ref="I25" location="rc" display="Update"/>
    <hyperlink ref="I30" location="rc" display="Update"/>
    <hyperlink ref="I35" location="rc" display="Update"/>
    <hyperlink ref="I40" location="rc" display="Update"/>
    <hyperlink ref="I45" location="rc" display="Update"/>
    <hyperlink ref="I50" location="rc" display="Update"/>
    <hyperlink ref="I55" location="rc" display="Update"/>
    <hyperlink ref="I60" location="rc" display="Update"/>
    <hyperlink ref="I65" location="rc" display="Update"/>
    <hyperlink ref="I70" location="rc" display="Update"/>
    <hyperlink ref="I75" location="rc" display="Update"/>
    <hyperlink ref="I80" location="rc" display="Update"/>
    <hyperlink ref="I85" location="rc" display="Update"/>
    <hyperlink ref="I90" location="rc" display="Update"/>
    <hyperlink ref="I95" location="rc" display="Update"/>
    <hyperlink ref="I100" location="rc" display="Update"/>
    <hyperlink ref="I105" location="rc" display="Update"/>
    <hyperlink ref="I16" location="rc" display="Update"/>
    <hyperlink ref="I21" location="rc" display="Update"/>
    <hyperlink ref="I26" location="rc" display="Update"/>
    <hyperlink ref="I31" location="rc" display="Update"/>
    <hyperlink ref="I36" location="rc" display="Update"/>
    <hyperlink ref="I41" location="rc" display="Update"/>
    <hyperlink ref="I46" location="rc" display="Update"/>
    <hyperlink ref="I51" location="rc" display="Update"/>
    <hyperlink ref="I56" location="rc" display="Update"/>
    <hyperlink ref="I61" location="rc" display="Update"/>
    <hyperlink ref="I66" location="rc" display="Update"/>
    <hyperlink ref="I71" location="rc" display="Update"/>
    <hyperlink ref="I76" location="rc" display="Update"/>
    <hyperlink ref="I81" location="rc" display="Update"/>
    <hyperlink ref="I86" location="rc" display="Update"/>
    <hyperlink ref="I91" location="rc" display="Update"/>
    <hyperlink ref="I96" location="rc" display="Update"/>
    <hyperlink ref="I101" location="rc" display="Update"/>
    <hyperlink ref="I106" location="rc" display="Update"/>
    <hyperlink ref="I17" location="rc" display="Update"/>
    <hyperlink ref="I22" location="rc" display="Update"/>
    <hyperlink ref="I27" location="rc" display="Update"/>
    <hyperlink ref="I32" location="rc" display="Update"/>
    <hyperlink ref="I37" location="rc" display="Update"/>
    <hyperlink ref="I42" location="rc" display="Update"/>
    <hyperlink ref="I47" location="rc" display="Update"/>
    <hyperlink ref="I52" location="rc" display="Update"/>
    <hyperlink ref="I57" location="rc" display="Update"/>
    <hyperlink ref="I62" location="rc" display="Update"/>
    <hyperlink ref="I67" location="rc" display="Update"/>
    <hyperlink ref="I72" location="rc" display="Update"/>
    <hyperlink ref="I77" location="rc" display="Update"/>
    <hyperlink ref="I82" location="rc" display="Update"/>
    <hyperlink ref="I87" location="rc" display="Update"/>
    <hyperlink ref="I92" location="rc" display="Update"/>
    <hyperlink ref="I97" location="rc" display="Update"/>
    <hyperlink ref="I102" location="rc" display="Update"/>
    <hyperlink ref="I107" location="rc" display="Update"/>
    <hyperlink ref="I18" location="rc" display="Update"/>
    <hyperlink ref="I23" location="rc" display="Update"/>
    <hyperlink ref="I28" location="rc" display="Update"/>
    <hyperlink ref="I33" location="rc" display="Update"/>
    <hyperlink ref="I38" location="rc" display="Update"/>
    <hyperlink ref="I43" location="rc" display="Update"/>
    <hyperlink ref="I48" location="rc" display="Update"/>
    <hyperlink ref="I53" location="rc" display="Update"/>
    <hyperlink ref="I58" location="rc" display="Update"/>
    <hyperlink ref="I63" location="rc" display="Update"/>
    <hyperlink ref="I68" location="rc" display="Update"/>
    <hyperlink ref="I73" location="rc" display="Update"/>
    <hyperlink ref="I78" location="rc" display="Update"/>
    <hyperlink ref="I83" location="rc" display="Update"/>
    <hyperlink ref="I88" location="rc" display="Update"/>
    <hyperlink ref="I93" location="rc" display="Update"/>
    <hyperlink ref="I98" location="rc" display="Update"/>
    <hyperlink ref="I103" location="rc" display="Update"/>
    <hyperlink ref="I108" location="rc" display="Update"/>
  </hyperlink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Workbook_Select">
                <anchor moveWithCells="1" sizeWithCells="1">
                  <from>
                    <xdr:col>4</xdr:col>
                    <xdr:colOff>38100</xdr:colOff>
                    <xdr:row>3</xdr:row>
                    <xdr:rowOff>175260</xdr:rowOff>
                  </from>
                  <to>
                    <xdr:col>4</xdr:col>
                    <xdr:colOff>944880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Validate_workbook">
                <anchor moveWithCells="1" sizeWithCells="1">
                  <from>
                    <xdr:col>4</xdr:col>
                    <xdr:colOff>1013460</xdr:colOff>
                    <xdr:row>3</xdr:row>
                    <xdr:rowOff>175260</xdr:rowOff>
                  </from>
                  <to>
                    <xdr:col>4</xdr:col>
                    <xdr:colOff>2057400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M195"/>
  <sheetViews>
    <sheetView showGridLines="0" topLeftCell="A3" zoomScale="70" zoomScaleNormal="70" workbookViewId="0">
      <selection activeCell="A8" sqref="A8"/>
    </sheetView>
  </sheetViews>
  <sheetFormatPr defaultColWidth="8.5546875" defaultRowHeight="14.4" x14ac:dyDescent="0.3"/>
  <cols>
    <col min="1" max="1" width="26.33203125" bestFit="1" customWidth="1"/>
    <col min="2" max="2" width="41.33203125" customWidth="1"/>
    <col min="3" max="3" width="11.88671875" style="10" bestFit="1" customWidth="1"/>
    <col min="4" max="4" width="15.109375" style="10" customWidth="1"/>
    <col min="5" max="5" width="14.88671875" style="10" bestFit="1" customWidth="1"/>
    <col min="6" max="6" width="11.88671875" style="9" bestFit="1" customWidth="1"/>
    <col min="7" max="7" width="10.44140625" style="10" bestFit="1" customWidth="1"/>
    <col min="8" max="8" width="9.5546875" style="10" bestFit="1" customWidth="1"/>
    <col min="9" max="9" width="13.6640625" customWidth="1"/>
    <col min="10" max="10" width="13.109375" style="10" bestFit="1" customWidth="1"/>
    <col min="11" max="11" width="12.6640625" style="10" bestFit="1" customWidth="1"/>
    <col min="12" max="12" width="12.109375" style="9" bestFit="1" customWidth="1"/>
    <col min="13" max="13" width="12.109375" style="10" customWidth="1"/>
    <col min="14" max="14" width="9.33203125" style="10" bestFit="1" customWidth="1"/>
    <col min="15" max="15" width="12.6640625" style="10" bestFit="1" customWidth="1"/>
    <col min="16" max="16" width="12.109375" style="9" bestFit="1" customWidth="1"/>
    <col min="17" max="17" width="12.109375" style="10" customWidth="1"/>
    <col min="18" max="18" width="9.33203125" style="10" bestFit="1" customWidth="1"/>
    <col min="22" max="22" width="23.6640625" bestFit="1" customWidth="1"/>
    <col min="23" max="23" width="11.88671875" bestFit="1" customWidth="1"/>
    <col min="24" max="24" width="15.109375" customWidth="1"/>
    <col min="25" max="25" width="14.88671875" bestFit="1" customWidth="1"/>
    <col min="26" max="26" width="11.88671875" bestFit="1" customWidth="1"/>
    <col min="27" max="27" width="10.44140625" bestFit="1" customWidth="1"/>
    <col min="28" max="28" width="9.5546875" bestFit="1" customWidth="1"/>
    <col min="29" max="29" width="9.5546875" customWidth="1"/>
    <col min="30" max="30" width="13.109375" bestFit="1" customWidth="1"/>
    <col min="31" max="31" width="12.6640625" bestFit="1" customWidth="1"/>
    <col min="32" max="32" width="12.109375" bestFit="1" customWidth="1"/>
    <col min="33" max="33" width="12.109375" customWidth="1"/>
    <col min="34" max="34" width="9.33203125" bestFit="1" customWidth="1"/>
    <col min="35" max="35" width="12.6640625" bestFit="1" customWidth="1"/>
    <col min="36" max="36" width="12.109375" bestFit="1" customWidth="1"/>
    <col min="37" max="37" width="12.109375" customWidth="1"/>
    <col min="38" max="38" width="9.33203125" bestFit="1" customWidth="1"/>
  </cols>
  <sheetData>
    <row r="2" spans="1:37" x14ac:dyDescent="0.3">
      <c r="B2" s="68" t="s">
        <v>70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V2" s="68" t="s">
        <v>67</v>
      </c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</row>
    <row r="3" spans="1:37" x14ac:dyDescent="0.3">
      <c r="B3" s="1"/>
      <c r="C3" s="2"/>
      <c r="D3" s="65" t="s">
        <v>73</v>
      </c>
      <c r="E3" s="66"/>
      <c r="F3" s="66"/>
      <c r="G3" s="66"/>
      <c r="H3" s="67"/>
      <c r="I3" s="11" t="s">
        <v>153</v>
      </c>
      <c r="J3" s="65" t="s">
        <v>1</v>
      </c>
      <c r="K3" s="66"/>
      <c r="L3" s="66"/>
      <c r="M3" s="66"/>
      <c r="N3" s="66"/>
      <c r="O3" s="65" t="s">
        <v>156</v>
      </c>
      <c r="P3" s="66"/>
      <c r="Q3" s="66"/>
      <c r="R3" s="67"/>
      <c r="V3" s="1"/>
      <c r="W3" s="1"/>
      <c r="X3" s="69" t="s">
        <v>73</v>
      </c>
      <c r="Y3" s="69"/>
      <c r="Z3" s="69"/>
      <c r="AA3" s="69"/>
      <c r="AB3" s="69"/>
      <c r="AC3" s="69" t="s">
        <v>1</v>
      </c>
      <c r="AD3" s="69"/>
      <c r="AE3" s="69"/>
      <c r="AF3" s="69"/>
      <c r="AG3" s="69"/>
      <c r="AH3" s="65" t="s">
        <v>156</v>
      </c>
      <c r="AI3" s="66"/>
      <c r="AJ3" s="66"/>
      <c r="AK3" s="67"/>
    </row>
    <row r="4" spans="1:37" ht="14.4" customHeight="1" x14ac:dyDescent="0.3">
      <c r="B4" s="1" t="s">
        <v>71</v>
      </c>
      <c r="C4" s="2" t="s">
        <v>5</v>
      </c>
      <c r="D4" s="15" t="s">
        <v>2</v>
      </c>
      <c r="E4" s="15" t="s">
        <v>0</v>
      </c>
      <c r="F4" s="16" t="s">
        <v>3</v>
      </c>
      <c r="G4" s="15" t="s">
        <v>4</v>
      </c>
      <c r="H4" s="15" t="s">
        <v>6</v>
      </c>
      <c r="I4" s="6" t="s">
        <v>155</v>
      </c>
      <c r="J4" s="15" t="s">
        <v>2</v>
      </c>
      <c r="K4" s="15" t="s">
        <v>0</v>
      </c>
      <c r="L4" s="16" t="s">
        <v>3</v>
      </c>
      <c r="M4" s="15" t="s">
        <v>4</v>
      </c>
      <c r="N4" s="15" t="s">
        <v>7</v>
      </c>
      <c r="O4" s="15" t="s">
        <v>0</v>
      </c>
      <c r="P4" s="16" t="s">
        <v>3</v>
      </c>
      <c r="Q4" s="15" t="s">
        <v>4</v>
      </c>
      <c r="R4" s="15" t="s">
        <v>7</v>
      </c>
      <c r="V4" s="1" t="s">
        <v>68</v>
      </c>
      <c r="W4" s="1" t="s">
        <v>5</v>
      </c>
      <c r="X4" s="4" t="s">
        <v>2</v>
      </c>
      <c r="Y4" s="4" t="s">
        <v>0</v>
      </c>
      <c r="Z4" s="5" t="s">
        <v>3</v>
      </c>
      <c r="AA4" s="5" t="s">
        <v>4</v>
      </c>
      <c r="AB4" s="6" t="s">
        <v>6</v>
      </c>
      <c r="AC4" s="4" t="s">
        <v>2</v>
      </c>
      <c r="AD4" s="4" t="s">
        <v>0</v>
      </c>
      <c r="AE4" s="5" t="s">
        <v>3</v>
      </c>
      <c r="AF4" s="5" t="s">
        <v>4</v>
      </c>
      <c r="AG4" s="6" t="s">
        <v>6</v>
      </c>
      <c r="AH4" s="4" t="s">
        <v>0</v>
      </c>
      <c r="AI4" s="5" t="s">
        <v>3</v>
      </c>
      <c r="AJ4" s="5" t="s">
        <v>4</v>
      </c>
      <c r="AK4" s="6" t="s">
        <v>6</v>
      </c>
    </row>
    <row r="5" spans="1:37" ht="14.4" customHeight="1" x14ac:dyDescent="0.3">
      <c r="B5" s="7" t="s">
        <v>130</v>
      </c>
      <c r="C5" s="14">
        <v>8</v>
      </c>
      <c r="D5" s="14">
        <v>8</v>
      </c>
      <c r="E5" s="14">
        <v>8</v>
      </c>
      <c r="F5" s="17">
        <v>1</v>
      </c>
      <c r="G5" s="14">
        <v>258</v>
      </c>
      <c r="H5" s="14">
        <v>32.25</v>
      </c>
      <c r="I5" s="14">
        <v>36</v>
      </c>
      <c r="J5" s="14">
        <v>8</v>
      </c>
      <c r="K5" s="14">
        <v>8</v>
      </c>
      <c r="L5" s="17">
        <v>1</v>
      </c>
      <c r="M5" s="14">
        <v>228</v>
      </c>
      <c r="N5" s="14">
        <v>28.5</v>
      </c>
      <c r="O5" s="14">
        <v>8</v>
      </c>
      <c r="P5" s="17">
        <v>1</v>
      </c>
      <c r="Q5" s="14">
        <v>270</v>
      </c>
      <c r="R5" s="14">
        <v>33.75</v>
      </c>
      <c r="S5" s="22">
        <f>IFERROR((I5+0),0)-IFERROR((H5+0),0)</f>
        <v>3.75</v>
      </c>
      <c r="V5" s="1" t="s">
        <v>65</v>
      </c>
      <c r="W5" s="2">
        <v>1</v>
      </c>
      <c r="X5" s="2">
        <v>1</v>
      </c>
      <c r="Y5" s="2">
        <v>1</v>
      </c>
      <c r="Z5" s="3">
        <v>1</v>
      </c>
      <c r="AA5" s="2">
        <v>2.4</v>
      </c>
      <c r="AB5" s="2">
        <v>2.4</v>
      </c>
      <c r="AC5" s="2">
        <v>1</v>
      </c>
      <c r="AD5" s="2">
        <v>1</v>
      </c>
      <c r="AE5" s="3">
        <v>1</v>
      </c>
      <c r="AF5" s="2">
        <v>36</v>
      </c>
      <c r="AG5" s="2">
        <v>36</v>
      </c>
      <c r="AH5" s="2">
        <v>1</v>
      </c>
      <c r="AI5" s="3">
        <v>1</v>
      </c>
      <c r="AJ5" s="2">
        <v>18</v>
      </c>
      <c r="AK5" s="2">
        <v>18</v>
      </c>
    </row>
    <row r="6" spans="1:37" ht="14.4" customHeight="1" x14ac:dyDescent="0.3">
      <c r="B6" s="7" t="s">
        <v>138</v>
      </c>
      <c r="C6" s="14">
        <v>1</v>
      </c>
      <c r="D6" s="14">
        <v>1</v>
      </c>
      <c r="E6" s="14">
        <v>1</v>
      </c>
      <c r="F6" s="17">
        <v>1</v>
      </c>
      <c r="G6" s="14">
        <v>3</v>
      </c>
      <c r="H6" s="14">
        <v>3</v>
      </c>
      <c r="I6" s="14">
        <v>0</v>
      </c>
      <c r="J6" s="14">
        <v>1</v>
      </c>
      <c r="K6" s="14">
        <v>1</v>
      </c>
      <c r="L6" s="17">
        <v>1</v>
      </c>
      <c r="M6" s="14">
        <v>24</v>
      </c>
      <c r="N6" s="14">
        <v>24</v>
      </c>
      <c r="O6" s="14">
        <v>1</v>
      </c>
      <c r="P6" s="17">
        <v>1</v>
      </c>
      <c r="Q6" s="14">
        <v>36</v>
      </c>
      <c r="R6" s="14">
        <v>36</v>
      </c>
      <c r="S6" s="10">
        <f t="shared" ref="S6:S69" si="0">IFERROR((I6+0),0)-IFERROR((H6+0),0)</f>
        <v>-3</v>
      </c>
      <c r="V6" s="1" t="s">
        <v>59</v>
      </c>
      <c r="W6" s="2">
        <v>7</v>
      </c>
      <c r="X6" s="2">
        <v>7</v>
      </c>
      <c r="Y6" s="2">
        <v>7</v>
      </c>
      <c r="Z6" s="3">
        <v>1</v>
      </c>
      <c r="AA6" s="2">
        <v>222</v>
      </c>
      <c r="AB6" s="2">
        <v>31.714285</v>
      </c>
      <c r="AC6" s="2">
        <v>7</v>
      </c>
      <c r="AD6" s="2">
        <v>7</v>
      </c>
      <c r="AE6" s="3">
        <v>1</v>
      </c>
      <c r="AF6" s="2">
        <v>228</v>
      </c>
      <c r="AG6" s="2">
        <v>32.571428571428598</v>
      </c>
      <c r="AH6" s="2">
        <v>7</v>
      </c>
      <c r="AI6" s="3">
        <v>1</v>
      </c>
      <c r="AJ6" s="2">
        <v>210</v>
      </c>
      <c r="AK6" s="2">
        <v>30</v>
      </c>
    </row>
    <row r="7" spans="1:37" ht="14.4" customHeight="1" x14ac:dyDescent="0.3">
      <c r="B7" s="18" t="s">
        <v>141</v>
      </c>
      <c r="C7" s="19">
        <v>4</v>
      </c>
      <c r="D7" s="19">
        <v>4</v>
      </c>
      <c r="E7" s="19">
        <v>4</v>
      </c>
      <c r="F7" s="20">
        <v>1</v>
      </c>
      <c r="G7" s="19">
        <v>108</v>
      </c>
      <c r="H7" s="19">
        <v>27</v>
      </c>
      <c r="I7" s="19">
        <v>36</v>
      </c>
      <c r="J7" s="19">
        <v>4</v>
      </c>
      <c r="K7" s="19">
        <v>4</v>
      </c>
      <c r="L7" s="20">
        <v>1</v>
      </c>
      <c r="M7" s="19">
        <v>84</v>
      </c>
      <c r="N7" s="19">
        <v>21</v>
      </c>
      <c r="O7" s="19">
        <v>4</v>
      </c>
      <c r="P7" s="20">
        <v>1</v>
      </c>
      <c r="Q7" s="19">
        <v>114</v>
      </c>
      <c r="R7" s="19">
        <v>28.5</v>
      </c>
      <c r="S7" s="21">
        <f t="shared" si="0"/>
        <v>9</v>
      </c>
      <c r="V7" s="1" t="s">
        <v>36</v>
      </c>
      <c r="W7" s="2">
        <v>7</v>
      </c>
      <c r="X7" s="2">
        <v>5</v>
      </c>
      <c r="Y7" s="2">
        <v>5</v>
      </c>
      <c r="Z7" s="3">
        <v>1</v>
      </c>
      <c r="AA7" s="2">
        <v>132</v>
      </c>
      <c r="AB7" s="2">
        <v>26.4</v>
      </c>
      <c r="AC7" s="2">
        <v>5</v>
      </c>
      <c r="AD7" s="2">
        <v>5</v>
      </c>
      <c r="AE7" s="3">
        <v>1</v>
      </c>
      <c r="AF7" s="2">
        <v>150</v>
      </c>
      <c r="AG7" s="2">
        <v>30</v>
      </c>
      <c r="AH7" s="2">
        <v>5</v>
      </c>
      <c r="AI7" s="3">
        <v>1</v>
      </c>
      <c r="AJ7" s="2">
        <v>174</v>
      </c>
      <c r="AK7" s="2">
        <v>34.799999999999997</v>
      </c>
    </row>
    <row r="8" spans="1:37" ht="14.4" customHeight="1" x14ac:dyDescent="0.3">
      <c r="A8" t="s">
        <v>160</v>
      </c>
      <c r="B8" s="18" t="s">
        <v>143</v>
      </c>
      <c r="C8" s="19">
        <v>3</v>
      </c>
      <c r="D8" s="19">
        <v>3</v>
      </c>
      <c r="E8" s="19">
        <v>3</v>
      </c>
      <c r="F8" s="20">
        <v>1</v>
      </c>
      <c r="G8" s="19">
        <v>35.4</v>
      </c>
      <c r="H8" s="19">
        <v>11.8</v>
      </c>
      <c r="I8" s="19">
        <v>26</v>
      </c>
      <c r="J8" s="19">
        <v>3</v>
      </c>
      <c r="K8" s="19">
        <v>3</v>
      </c>
      <c r="L8" s="20">
        <v>1</v>
      </c>
      <c r="M8" s="19">
        <v>72</v>
      </c>
      <c r="N8" s="19">
        <v>24</v>
      </c>
      <c r="O8" s="19">
        <v>3</v>
      </c>
      <c r="P8" s="20">
        <v>1</v>
      </c>
      <c r="Q8" s="19">
        <v>108</v>
      </c>
      <c r="R8" s="19">
        <v>36</v>
      </c>
      <c r="S8" s="21">
        <f t="shared" si="0"/>
        <v>14.2</v>
      </c>
      <c r="V8" s="1" t="s">
        <v>58</v>
      </c>
      <c r="W8" s="2">
        <v>11</v>
      </c>
      <c r="X8" s="2">
        <v>11</v>
      </c>
      <c r="Y8" s="2">
        <v>11</v>
      </c>
      <c r="Z8" s="3">
        <v>1</v>
      </c>
      <c r="AA8" s="2">
        <v>372</v>
      </c>
      <c r="AB8" s="2">
        <v>33.818181000000003</v>
      </c>
      <c r="AC8" s="2">
        <v>11</v>
      </c>
      <c r="AD8" s="2">
        <v>11</v>
      </c>
      <c r="AE8" s="3">
        <v>1</v>
      </c>
      <c r="AF8" s="2">
        <v>300</v>
      </c>
      <c r="AG8" s="2">
        <v>27.272727272727298</v>
      </c>
      <c r="AH8" s="2">
        <v>11</v>
      </c>
      <c r="AI8" s="3">
        <v>1</v>
      </c>
      <c r="AJ8" s="2">
        <v>294</v>
      </c>
      <c r="AK8" s="2">
        <v>26.727272727272702</v>
      </c>
    </row>
    <row r="9" spans="1:37" ht="14.4" customHeight="1" x14ac:dyDescent="0.3">
      <c r="B9" s="7" t="s">
        <v>124</v>
      </c>
      <c r="C9" s="14">
        <v>4</v>
      </c>
      <c r="D9" s="14">
        <v>4</v>
      </c>
      <c r="E9" s="14">
        <v>4</v>
      </c>
      <c r="F9" s="17">
        <v>1</v>
      </c>
      <c r="G9" s="14">
        <v>144</v>
      </c>
      <c r="H9" s="14">
        <v>36</v>
      </c>
      <c r="I9" s="14">
        <v>36</v>
      </c>
      <c r="J9" s="14">
        <v>4</v>
      </c>
      <c r="K9" s="14">
        <v>4</v>
      </c>
      <c r="L9" s="17">
        <v>1</v>
      </c>
      <c r="M9" s="14">
        <v>102</v>
      </c>
      <c r="N9" s="14">
        <v>25.5</v>
      </c>
      <c r="O9" s="14">
        <v>4</v>
      </c>
      <c r="P9" s="17">
        <v>1</v>
      </c>
      <c r="Q9" s="14">
        <v>126</v>
      </c>
      <c r="R9" s="14">
        <v>31.5</v>
      </c>
      <c r="S9" s="10">
        <f t="shared" si="0"/>
        <v>0</v>
      </c>
      <c r="V9" s="1" t="s">
        <v>57</v>
      </c>
      <c r="W9" s="2">
        <v>26</v>
      </c>
      <c r="X9" s="2">
        <v>26</v>
      </c>
      <c r="Y9" s="2">
        <v>26</v>
      </c>
      <c r="Z9" s="3">
        <v>1</v>
      </c>
      <c r="AA9" s="2">
        <v>590.4</v>
      </c>
      <c r="AB9" s="2">
        <v>22.707692000000002</v>
      </c>
      <c r="AC9" s="2">
        <v>25</v>
      </c>
      <c r="AD9" s="2">
        <v>24</v>
      </c>
      <c r="AE9" s="3">
        <v>0.96</v>
      </c>
      <c r="AF9" s="2">
        <v>558</v>
      </c>
      <c r="AG9" s="2">
        <v>23.25</v>
      </c>
      <c r="AH9" s="2">
        <v>25</v>
      </c>
      <c r="AI9" s="3">
        <v>1</v>
      </c>
      <c r="AJ9" s="2">
        <v>627.6</v>
      </c>
      <c r="AK9" s="2">
        <v>25.103999999999999</v>
      </c>
    </row>
    <row r="10" spans="1:37" ht="14.4" customHeight="1" x14ac:dyDescent="0.3">
      <c r="B10" s="7" t="s">
        <v>139</v>
      </c>
      <c r="C10" s="14">
        <v>5</v>
      </c>
      <c r="D10" s="14">
        <v>1</v>
      </c>
      <c r="E10" s="14">
        <v>0</v>
      </c>
      <c r="F10" s="17">
        <v>0</v>
      </c>
      <c r="G10" s="14">
        <v>0</v>
      </c>
      <c r="H10" s="14">
        <v>0</v>
      </c>
      <c r="I10" s="14">
        <v>0</v>
      </c>
      <c r="J10" s="14">
        <v>2</v>
      </c>
      <c r="K10" s="14">
        <v>2</v>
      </c>
      <c r="L10" s="17">
        <v>1</v>
      </c>
      <c r="M10" s="14">
        <v>24</v>
      </c>
      <c r="N10" s="14">
        <v>12</v>
      </c>
      <c r="O10" s="14">
        <v>2</v>
      </c>
      <c r="P10" s="17">
        <v>1</v>
      </c>
      <c r="Q10" s="14">
        <v>66</v>
      </c>
      <c r="R10" s="14">
        <v>33</v>
      </c>
      <c r="S10" s="23">
        <f>IFERROR((I10+0),0)-IFERROR((H10+0),0)</f>
        <v>0</v>
      </c>
      <c r="V10" s="1" t="s">
        <v>56</v>
      </c>
      <c r="W10" s="2">
        <v>34</v>
      </c>
      <c r="X10" s="2">
        <v>27</v>
      </c>
      <c r="Y10" s="2">
        <v>27</v>
      </c>
      <c r="Z10" s="3">
        <v>1</v>
      </c>
      <c r="AA10" s="2">
        <v>510</v>
      </c>
      <c r="AB10" s="2">
        <v>18.888888000000001</v>
      </c>
      <c r="AC10" s="2">
        <v>27</v>
      </c>
      <c r="AD10" s="2">
        <v>25</v>
      </c>
      <c r="AE10" s="3">
        <v>0.92592592592592604</v>
      </c>
      <c r="AF10" s="2">
        <v>441</v>
      </c>
      <c r="AG10" s="2">
        <v>17.64</v>
      </c>
      <c r="AH10" s="2">
        <v>27</v>
      </c>
      <c r="AI10" s="3">
        <v>1</v>
      </c>
      <c r="AJ10" s="2">
        <v>501</v>
      </c>
      <c r="AK10" s="2">
        <v>18.5555555555556</v>
      </c>
    </row>
    <row r="11" spans="1:37" ht="14.4" customHeight="1" x14ac:dyDescent="0.3">
      <c r="B11" s="7" t="s">
        <v>117</v>
      </c>
      <c r="C11" s="14">
        <v>12</v>
      </c>
      <c r="D11" s="14">
        <v>11</v>
      </c>
      <c r="E11" s="14">
        <v>11</v>
      </c>
      <c r="F11" s="17">
        <v>1</v>
      </c>
      <c r="G11" s="14">
        <v>55.8</v>
      </c>
      <c r="H11" s="14">
        <v>5.0727270000000004</v>
      </c>
      <c r="I11" s="14">
        <v>12</v>
      </c>
      <c r="J11" s="14">
        <v>11</v>
      </c>
      <c r="K11" s="14">
        <v>11</v>
      </c>
      <c r="L11" s="17">
        <v>1</v>
      </c>
      <c r="M11" s="14">
        <v>198</v>
      </c>
      <c r="N11" s="14">
        <v>18</v>
      </c>
      <c r="O11" s="14">
        <v>11</v>
      </c>
      <c r="P11" s="17">
        <v>1</v>
      </c>
      <c r="Q11" s="14">
        <v>228</v>
      </c>
      <c r="R11" s="14">
        <v>20.727272727272702</v>
      </c>
      <c r="S11" s="10">
        <f t="shared" si="0"/>
        <v>6.9272729999999996</v>
      </c>
      <c r="V11" s="1" t="s">
        <v>53</v>
      </c>
      <c r="W11" s="2">
        <v>47</v>
      </c>
      <c r="X11" s="2">
        <v>46</v>
      </c>
      <c r="Y11" s="2">
        <v>46</v>
      </c>
      <c r="Z11" s="3">
        <v>1</v>
      </c>
      <c r="AA11" s="2">
        <v>568.20000000000005</v>
      </c>
      <c r="AB11" s="2">
        <v>12.352173000000001</v>
      </c>
      <c r="AC11" s="2">
        <v>46</v>
      </c>
      <c r="AD11" s="2">
        <v>42</v>
      </c>
      <c r="AE11" s="3">
        <v>0.91304347826086996</v>
      </c>
      <c r="AF11" s="2">
        <v>615</v>
      </c>
      <c r="AG11" s="2">
        <v>14.6428571428571</v>
      </c>
      <c r="AH11" s="2">
        <v>44</v>
      </c>
      <c r="AI11" s="3">
        <v>1</v>
      </c>
      <c r="AJ11" s="2">
        <v>538.20000000000005</v>
      </c>
      <c r="AK11" s="2">
        <v>12.2318181818182</v>
      </c>
    </row>
    <row r="12" spans="1:37" ht="14.4" customHeight="1" x14ac:dyDescent="0.3">
      <c r="B12" s="7" t="s">
        <v>131</v>
      </c>
      <c r="C12" s="14">
        <v>10</v>
      </c>
      <c r="D12" s="14">
        <v>10</v>
      </c>
      <c r="E12" s="14">
        <v>10</v>
      </c>
      <c r="F12" s="17">
        <v>1</v>
      </c>
      <c r="G12" s="14">
        <v>270</v>
      </c>
      <c r="H12" s="14">
        <v>27</v>
      </c>
      <c r="I12" s="14">
        <v>36</v>
      </c>
      <c r="J12" s="14">
        <v>10</v>
      </c>
      <c r="K12" s="14">
        <v>10</v>
      </c>
      <c r="L12" s="17">
        <v>1</v>
      </c>
      <c r="M12" s="14">
        <v>252</v>
      </c>
      <c r="N12" s="14">
        <v>25.2</v>
      </c>
      <c r="O12" s="14">
        <v>10</v>
      </c>
      <c r="P12" s="17">
        <v>1</v>
      </c>
      <c r="Q12" s="14">
        <v>228</v>
      </c>
      <c r="R12" s="14">
        <v>22.8</v>
      </c>
      <c r="S12" s="10">
        <f t="shared" si="0"/>
        <v>9</v>
      </c>
      <c r="V12" s="1" t="s">
        <v>35</v>
      </c>
      <c r="W12" s="2">
        <v>109</v>
      </c>
      <c r="X12" s="2">
        <v>100</v>
      </c>
      <c r="Y12" s="2">
        <v>100</v>
      </c>
      <c r="Z12" s="3">
        <v>1</v>
      </c>
      <c r="AA12" s="2">
        <v>1081.8</v>
      </c>
      <c r="AB12" s="2">
        <v>10.818</v>
      </c>
      <c r="AC12" s="2">
        <v>100</v>
      </c>
      <c r="AD12" s="2">
        <v>77</v>
      </c>
      <c r="AE12" s="3">
        <v>0.77</v>
      </c>
      <c r="AF12" s="2">
        <v>955.2</v>
      </c>
      <c r="AG12" s="2">
        <v>12.4051948051948</v>
      </c>
      <c r="AH12" s="2">
        <v>95</v>
      </c>
      <c r="AI12" s="3">
        <v>1</v>
      </c>
      <c r="AJ12" s="2">
        <v>957.6</v>
      </c>
      <c r="AK12" s="2">
        <v>10.08</v>
      </c>
    </row>
    <row r="13" spans="1:37" ht="14.4" customHeight="1" x14ac:dyDescent="0.3">
      <c r="A13" s="24" t="s">
        <v>159</v>
      </c>
      <c r="B13" s="18" t="s">
        <v>101</v>
      </c>
      <c r="C13" s="19">
        <v>21</v>
      </c>
      <c r="D13" s="19">
        <v>21</v>
      </c>
      <c r="E13" s="19">
        <v>21</v>
      </c>
      <c r="F13" s="20">
        <v>1</v>
      </c>
      <c r="G13" s="19">
        <v>435.6</v>
      </c>
      <c r="H13" s="19">
        <v>20.742857000000001</v>
      </c>
      <c r="I13" s="19">
        <v>30</v>
      </c>
      <c r="J13" s="19">
        <v>21</v>
      </c>
      <c r="K13" s="19">
        <v>21</v>
      </c>
      <c r="L13" s="20">
        <v>1</v>
      </c>
      <c r="M13" s="19">
        <v>447</v>
      </c>
      <c r="N13" s="19">
        <v>21.285714285714299</v>
      </c>
      <c r="O13" s="19">
        <v>21</v>
      </c>
      <c r="P13" s="20">
        <v>1</v>
      </c>
      <c r="Q13" s="19">
        <v>481.2</v>
      </c>
      <c r="R13" s="19">
        <v>22.9142857142857</v>
      </c>
      <c r="S13" s="21">
        <f t="shared" si="0"/>
        <v>9.2571429999999992</v>
      </c>
      <c r="V13" s="1" t="s">
        <v>23</v>
      </c>
      <c r="W13" s="2">
        <v>497</v>
      </c>
      <c r="X13" s="2">
        <v>434</v>
      </c>
      <c r="Y13" s="2">
        <v>424</v>
      </c>
      <c r="Z13" s="3">
        <v>0.976958525345622</v>
      </c>
      <c r="AA13" s="2">
        <v>3349.2</v>
      </c>
      <c r="AB13" s="2">
        <v>7.8990559999999999</v>
      </c>
      <c r="AC13" s="2">
        <v>435</v>
      </c>
      <c r="AD13" s="2">
        <v>278</v>
      </c>
      <c r="AE13" s="3">
        <v>0.63908045977011496</v>
      </c>
      <c r="AF13" s="2">
        <v>1869.6</v>
      </c>
      <c r="AG13" s="2">
        <v>6.7251798561151102</v>
      </c>
      <c r="AH13" s="2">
        <v>345</v>
      </c>
      <c r="AI13" s="3">
        <v>1</v>
      </c>
      <c r="AJ13" s="2">
        <v>3009.6</v>
      </c>
      <c r="AK13" s="2">
        <v>8.7234782608695607</v>
      </c>
    </row>
    <row r="14" spans="1:37" ht="14.4" customHeight="1" x14ac:dyDescent="0.3">
      <c r="A14" s="24"/>
      <c r="B14" s="7" t="s">
        <v>129</v>
      </c>
      <c r="C14" s="14">
        <v>25</v>
      </c>
      <c r="D14" s="14">
        <v>21</v>
      </c>
      <c r="E14" s="14">
        <v>15</v>
      </c>
      <c r="F14" s="17">
        <v>0.71428571428571397</v>
      </c>
      <c r="G14" s="14">
        <v>68.400000000000006</v>
      </c>
      <c r="H14" s="14">
        <v>4.5599999999999996</v>
      </c>
      <c r="I14" s="14">
        <v>0</v>
      </c>
      <c r="J14" s="14">
        <v>21</v>
      </c>
      <c r="K14" s="14">
        <v>14</v>
      </c>
      <c r="L14" s="17">
        <v>0.66666666666666696</v>
      </c>
      <c r="M14" s="14">
        <v>153</v>
      </c>
      <c r="N14" s="14">
        <v>10.9285714285714</v>
      </c>
      <c r="O14" s="14">
        <v>21</v>
      </c>
      <c r="P14" s="17">
        <v>1</v>
      </c>
      <c r="Q14" s="14">
        <v>354.6</v>
      </c>
      <c r="R14" s="14">
        <v>16.8857142857143</v>
      </c>
      <c r="S14" s="23">
        <f t="shared" si="0"/>
        <v>-4.5599999999999996</v>
      </c>
      <c r="V14" s="1" t="s">
        <v>21</v>
      </c>
      <c r="W14" s="2">
        <v>13268</v>
      </c>
      <c r="X14" s="2">
        <v>10924</v>
      </c>
      <c r="Y14" s="2">
        <v>2045</v>
      </c>
      <c r="Z14" s="3">
        <v>0.18720248993042801</v>
      </c>
      <c r="AA14" s="2">
        <v>3564</v>
      </c>
      <c r="AB14" s="2">
        <v>1.7427870000000001</v>
      </c>
      <c r="AC14" s="2">
        <v>10914</v>
      </c>
      <c r="AD14" s="2">
        <v>1602</v>
      </c>
      <c r="AE14" s="3">
        <v>0.14678394722374899</v>
      </c>
      <c r="AF14" s="2">
        <v>2741.99999999996</v>
      </c>
      <c r="AG14" s="2">
        <v>1.71161048689136</v>
      </c>
      <c r="AH14" s="2">
        <v>1389</v>
      </c>
      <c r="AI14" s="3">
        <v>0.92169873921698697</v>
      </c>
      <c r="AJ14" s="2">
        <v>2824.7999999999702</v>
      </c>
      <c r="AK14" s="2">
        <v>2.0336933045356198</v>
      </c>
    </row>
    <row r="15" spans="1:37" ht="14.4" customHeight="1" x14ac:dyDescent="0.3">
      <c r="A15" s="24" t="s">
        <v>159</v>
      </c>
      <c r="B15" s="18" t="s">
        <v>113</v>
      </c>
      <c r="C15" s="19">
        <v>11</v>
      </c>
      <c r="D15" s="19">
        <v>11</v>
      </c>
      <c r="E15" s="19">
        <v>11</v>
      </c>
      <c r="F15" s="20">
        <v>1</v>
      </c>
      <c r="G15" s="19">
        <v>142.80000000000001</v>
      </c>
      <c r="H15" s="19">
        <v>12.981818000000001</v>
      </c>
      <c r="I15" s="19">
        <v>24</v>
      </c>
      <c r="J15" s="19">
        <v>11</v>
      </c>
      <c r="K15" s="19">
        <v>11</v>
      </c>
      <c r="L15" s="20">
        <v>1</v>
      </c>
      <c r="M15" s="19">
        <v>201.6</v>
      </c>
      <c r="N15" s="19">
        <v>18.3272727272727</v>
      </c>
      <c r="O15" s="19">
        <v>11</v>
      </c>
      <c r="P15" s="20">
        <v>1</v>
      </c>
      <c r="Q15" s="19">
        <v>178.2</v>
      </c>
      <c r="R15" s="19">
        <v>16.2</v>
      </c>
      <c r="S15" s="21">
        <f t="shared" si="0"/>
        <v>11.018181999999999</v>
      </c>
      <c r="V15" s="1" t="s">
        <v>26</v>
      </c>
      <c r="W15" s="2">
        <v>31162</v>
      </c>
      <c r="X15" s="2">
        <v>26520</v>
      </c>
      <c r="Y15" s="2">
        <v>0</v>
      </c>
      <c r="Z15" s="3">
        <v>0</v>
      </c>
      <c r="AA15" s="2">
        <v>0</v>
      </c>
      <c r="AB15" s="2">
        <v>0</v>
      </c>
      <c r="AC15" s="2">
        <v>26487</v>
      </c>
      <c r="AD15" s="2">
        <v>241</v>
      </c>
      <c r="AE15" s="3">
        <v>9.0988031864688308E-3</v>
      </c>
      <c r="AF15" s="2">
        <v>311.39999999999998</v>
      </c>
      <c r="AG15" s="2">
        <v>1.29211618257261</v>
      </c>
      <c r="AH15" s="2">
        <v>178</v>
      </c>
      <c r="AI15" s="3">
        <v>0.238286479250335</v>
      </c>
      <c r="AJ15" s="2">
        <v>286.8</v>
      </c>
      <c r="AK15" s="2">
        <v>1.6112359550561799</v>
      </c>
    </row>
    <row r="16" spans="1:37" ht="14.4" customHeight="1" x14ac:dyDescent="0.3">
      <c r="B16" s="7" t="s">
        <v>116</v>
      </c>
      <c r="C16" s="14">
        <v>7</v>
      </c>
      <c r="D16" s="14">
        <v>5</v>
      </c>
      <c r="E16" s="14">
        <v>3</v>
      </c>
      <c r="F16" s="17">
        <v>0.6</v>
      </c>
      <c r="G16" s="14">
        <v>24.6</v>
      </c>
      <c r="H16" s="14">
        <v>8.1999999999999993</v>
      </c>
      <c r="I16" s="14">
        <v>0</v>
      </c>
      <c r="J16" s="14">
        <v>5</v>
      </c>
      <c r="K16" s="14">
        <v>4</v>
      </c>
      <c r="L16" s="17">
        <v>0.8</v>
      </c>
      <c r="M16" s="14">
        <v>57</v>
      </c>
      <c r="N16" s="14">
        <v>14.25</v>
      </c>
      <c r="O16" s="14">
        <v>5</v>
      </c>
      <c r="P16" s="17">
        <v>1</v>
      </c>
      <c r="Q16" s="14">
        <v>72</v>
      </c>
      <c r="R16" s="14">
        <v>14.4</v>
      </c>
      <c r="S16" s="10">
        <f t="shared" si="0"/>
        <v>-8.1999999999999993</v>
      </c>
      <c r="V16" s="1" t="s">
        <v>28</v>
      </c>
      <c r="W16" s="2">
        <v>133</v>
      </c>
      <c r="X16" s="2">
        <v>124</v>
      </c>
      <c r="Y16" s="2">
        <v>124</v>
      </c>
      <c r="Z16" s="3">
        <v>1</v>
      </c>
      <c r="AA16" s="2">
        <v>4392</v>
      </c>
      <c r="AB16" s="2">
        <v>35.419353999999998</v>
      </c>
      <c r="AC16" s="2">
        <v>123</v>
      </c>
      <c r="AD16" s="2">
        <v>123</v>
      </c>
      <c r="AE16" s="3">
        <v>1</v>
      </c>
      <c r="AF16" s="2">
        <v>4248</v>
      </c>
      <c r="AG16" s="2">
        <v>34.536585365853703</v>
      </c>
      <c r="AH16" s="2">
        <v>123</v>
      </c>
      <c r="AI16" s="3">
        <v>1</v>
      </c>
      <c r="AJ16" s="2">
        <v>4422</v>
      </c>
      <c r="AK16" s="2">
        <v>35.951219512195102</v>
      </c>
    </row>
    <row r="17" spans="1:37" ht="14.4" customHeight="1" x14ac:dyDescent="0.3">
      <c r="B17" s="7" t="s">
        <v>89</v>
      </c>
      <c r="C17" s="14">
        <v>99</v>
      </c>
      <c r="D17" s="14">
        <v>78</v>
      </c>
      <c r="E17" s="14">
        <v>33</v>
      </c>
      <c r="F17" s="17">
        <v>0.42307692307692302</v>
      </c>
      <c r="G17" s="14">
        <v>194.4</v>
      </c>
      <c r="H17" s="14">
        <v>5.8909089999999997</v>
      </c>
      <c r="I17" s="14">
        <v>0</v>
      </c>
      <c r="J17" s="14">
        <v>77</v>
      </c>
      <c r="K17" s="14">
        <v>31</v>
      </c>
      <c r="L17" s="17">
        <v>0.40259740259740301</v>
      </c>
      <c r="M17" s="14">
        <v>244.2</v>
      </c>
      <c r="N17" s="14">
        <v>7.8774193548387101</v>
      </c>
      <c r="O17" s="14">
        <v>58</v>
      </c>
      <c r="P17" s="17">
        <v>1</v>
      </c>
      <c r="Q17" s="14">
        <v>677.4</v>
      </c>
      <c r="R17" s="14">
        <v>11.6793103448276</v>
      </c>
      <c r="S17" s="10">
        <f t="shared" si="0"/>
        <v>-5.8909089999999997</v>
      </c>
      <c r="V17" s="1" t="s">
        <v>14</v>
      </c>
      <c r="W17" s="2">
        <v>243</v>
      </c>
      <c r="X17" s="2">
        <v>227</v>
      </c>
      <c r="Y17" s="2">
        <v>227</v>
      </c>
      <c r="Z17" s="3">
        <v>1</v>
      </c>
      <c r="AA17" s="2">
        <v>6717.6</v>
      </c>
      <c r="AB17" s="2">
        <v>29.592950999999999</v>
      </c>
      <c r="AC17" s="2">
        <v>227</v>
      </c>
      <c r="AD17" s="2">
        <v>226</v>
      </c>
      <c r="AE17" s="3">
        <v>0.99559471365638796</v>
      </c>
      <c r="AF17" s="2">
        <v>7476</v>
      </c>
      <c r="AG17" s="2">
        <v>33.079646017699098</v>
      </c>
      <c r="AH17" s="2">
        <v>227</v>
      </c>
      <c r="AI17" s="3">
        <v>1</v>
      </c>
      <c r="AJ17" s="2">
        <v>7702.8</v>
      </c>
      <c r="AK17" s="2">
        <v>33.933039647577097</v>
      </c>
    </row>
    <row r="18" spans="1:37" ht="14.4" customHeight="1" x14ac:dyDescent="0.3">
      <c r="B18" s="7" t="s">
        <v>119</v>
      </c>
      <c r="C18" s="14">
        <v>12</v>
      </c>
      <c r="D18" s="14">
        <v>12</v>
      </c>
      <c r="E18" s="14">
        <v>12</v>
      </c>
      <c r="F18" s="17">
        <v>1</v>
      </c>
      <c r="G18" s="14">
        <v>91.2</v>
      </c>
      <c r="H18" s="14">
        <v>7.6</v>
      </c>
      <c r="I18" s="14">
        <v>12</v>
      </c>
      <c r="J18" s="14">
        <v>12</v>
      </c>
      <c r="K18" s="14">
        <v>12</v>
      </c>
      <c r="L18" s="17">
        <v>1</v>
      </c>
      <c r="M18" s="14">
        <v>153.6</v>
      </c>
      <c r="N18" s="14">
        <v>12.8</v>
      </c>
      <c r="O18" s="14">
        <v>12</v>
      </c>
      <c r="P18" s="17">
        <v>1</v>
      </c>
      <c r="Q18" s="14">
        <v>147.6</v>
      </c>
      <c r="R18" s="14">
        <v>12.3</v>
      </c>
      <c r="S18" s="10">
        <f t="shared" si="0"/>
        <v>4.4000000000000004</v>
      </c>
      <c r="V18" s="1" t="s">
        <v>30</v>
      </c>
      <c r="W18" s="2">
        <v>364</v>
      </c>
      <c r="X18" s="2">
        <v>339</v>
      </c>
      <c r="Y18" s="2">
        <v>339</v>
      </c>
      <c r="Z18" s="3">
        <v>1</v>
      </c>
      <c r="AA18" s="2">
        <v>9360</v>
      </c>
      <c r="AB18" s="2">
        <v>27.610619</v>
      </c>
      <c r="AC18" s="2">
        <v>341</v>
      </c>
      <c r="AD18" s="2">
        <v>341</v>
      </c>
      <c r="AE18" s="3">
        <v>1</v>
      </c>
      <c r="AF18" s="2">
        <v>9906.6</v>
      </c>
      <c r="AG18" s="2">
        <v>29.051612903225799</v>
      </c>
      <c r="AH18" s="2">
        <v>340</v>
      </c>
      <c r="AI18" s="3">
        <v>1</v>
      </c>
      <c r="AJ18" s="2">
        <v>9370.7999999999993</v>
      </c>
      <c r="AK18" s="2">
        <v>27.561176470588201</v>
      </c>
    </row>
    <row r="19" spans="1:37" ht="14.7" customHeight="1" x14ac:dyDescent="0.3">
      <c r="A19" s="24" t="s">
        <v>159</v>
      </c>
      <c r="B19" s="18" t="s">
        <v>90</v>
      </c>
      <c r="C19" s="19">
        <v>42</v>
      </c>
      <c r="D19" s="19">
        <v>38</v>
      </c>
      <c r="E19" s="19">
        <v>36</v>
      </c>
      <c r="F19" s="20">
        <v>0.94736842105263197</v>
      </c>
      <c r="G19" s="19">
        <v>195.6</v>
      </c>
      <c r="H19" s="19">
        <v>5.4333330000000002</v>
      </c>
      <c r="I19" s="19">
        <v>6</v>
      </c>
      <c r="J19" s="19">
        <v>37</v>
      </c>
      <c r="K19" s="19">
        <v>29</v>
      </c>
      <c r="L19" s="20">
        <v>0.78378378378378399</v>
      </c>
      <c r="M19" s="19">
        <v>378</v>
      </c>
      <c r="N19" s="19">
        <v>13.034482758620699</v>
      </c>
      <c r="O19" s="19">
        <v>29</v>
      </c>
      <c r="P19" s="20">
        <v>1</v>
      </c>
      <c r="Q19" s="19">
        <v>347.4</v>
      </c>
      <c r="R19" s="19">
        <v>11.979310344827599</v>
      </c>
      <c r="S19" s="21">
        <f t="shared" si="0"/>
        <v>0.56666699999999981</v>
      </c>
      <c r="V19" s="1" t="s">
        <v>32</v>
      </c>
      <c r="W19" s="2">
        <v>498</v>
      </c>
      <c r="X19" s="2">
        <v>458</v>
      </c>
      <c r="Y19" s="2">
        <v>458</v>
      </c>
      <c r="Z19" s="3">
        <v>1</v>
      </c>
      <c r="AA19" s="2">
        <v>12620.4</v>
      </c>
      <c r="AB19" s="2">
        <v>27.555458000000002</v>
      </c>
      <c r="AC19" s="2">
        <v>458</v>
      </c>
      <c r="AD19" s="2">
        <v>455</v>
      </c>
      <c r="AE19" s="3">
        <v>0.99344978165938902</v>
      </c>
      <c r="AF19" s="2">
        <v>11885.4</v>
      </c>
      <c r="AG19" s="2">
        <v>26.121758241758201</v>
      </c>
      <c r="AH19" s="2">
        <v>457</v>
      </c>
      <c r="AI19" s="3">
        <v>1</v>
      </c>
      <c r="AJ19" s="2">
        <v>11611.8</v>
      </c>
      <c r="AK19" s="2">
        <v>25.4087527352298</v>
      </c>
    </row>
    <row r="20" spans="1:37" ht="14.7" customHeight="1" x14ac:dyDescent="0.3">
      <c r="B20" s="18" t="s">
        <v>109</v>
      </c>
      <c r="C20" s="19">
        <v>83</v>
      </c>
      <c r="D20" s="19">
        <v>74</v>
      </c>
      <c r="E20" s="19">
        <v>74</v>
      </c>
      <c r="F20" s="20">
        <v>1</v>
      </c>
      <c r="G20" s="19">
        <v>1502.4</v>
      </c>
      <c r="H20" s="19">
        <v>20.302702</v>
      </c>
      <c r="I20" s="19">
        <v>30</v>
      </c>
      <c r="J20" s="19">
        <v>74</v>
      </c>
      <c r="K20" s="19">
        <v>72</v>
      </c>
      <c r="L20" s="20">
        <v>0.97297297297297303</v>
      </c>
      <c r="M20" s="19">
        <v>1101</v>
      </c>
      <c r="N20" s="19">
        <v>15.2916666666667</v>
      </c>
      <c r="O20" s="19">
        <v>66</v>
      </c>
      <c r="P20" s="20">
        <v>1</v>
      </c>
      <c r="Q20" s="19">
        <v>1128</v>
      </c>
      <c r="R20" s="19">
        <v>17.090909090909101</v>
      </c>
      <c r="S20" s="21">
        <f t="shared" si="0"/>
        <v>9.697298</v>
      </c>
      <c r="V20" s="1" t="s">
        <v>33</v>
      </c>
      <c r="W20" s="2">
        <v>649</v>
      </c>
      <c r="X20" s="2">
        <v>585</v>
      </c>
      <c r="Y20" s="2">
        <v>585</v>
      </c>
      <c r="Z20" s="3">
        <v>1</v>
      </c>
      <c r="AA20" s="2">
        <v>10888.2</v>
      </c>
      <c r="AB20" s="2">
        <v>18.612307000000001</v>
      </c>
      <c r="AC20" s="2">
        <v>585</v>
      </c>
      <c r="AD20" s="2">
        <v>579</v>
      </c>
      <c r="AE20" s="3">
        <v>0.98974358974359</v>
      </c>
      <c r="AF20" s="2">
        <v>12348.6</v>
      </c>
      <c r="AG20" s="2">
        <v>21.3274611398964</v>
      </c>
      <c r="AH20" s="2">
        <v>582</v>
      </c>
      <c r="AI20" s="3">
        <v>1</v>
      </c>
      <c r="AJ20" s="2">
        <v>12772.8</v>
      </c>
      <c r="AK20" s="2">
        <v>21.946391752577298</v>
      </c>
    </row>
    <row r="21" spans="1:37" ht="14.7" customHeight="1" x14ac:dyDescent="0.3">
      <c r="B21" s="7" t="s">
        <v>127</v>
      </c>
      <c r="C21" s="14">
        <v>23</v>
      </c>
      <c r="D21" s="14">
        <v>22</v>
      </c>
      <c r="E21" s="14">
        <v>15</v>
      </c>
      <c r="F21" s="17">
        <v>0.68181818181818199</v>
      </c>
      <c r="G21" s="14">
        <v>85.2</v>
      </c>
      <c r="H21" s="14">
        <v>5.68</v>
      </c>
      <c r="I21" s="14">
        <v>0</v>
      </c>
      <c r="J21" s="14">
        <v>22</v>
      </c>
      <c r="K21" s="14">
        <v>18</v>
      </c>
      <c r="L21" s="17">
        <v>0.81818181818181801</v>
      </c>
      <c r="M21" s="14">
        <v>270</v>
      </c>
      <c r="N21" s="14">
        <v>15</v>
      </c>
      <c r="O21" s="14">
        <v>22</v>
      </c>
      <c r="P21" s="17">
        <v>1</v>
      </c>
      <c r="Q21" s="14">
        <v>297</v>
      </c>
      <c r="R21" s="14">
        <v>13.5</v>
      </c>
      <c r="S21" s="10">
        <f t="shared" si="0"/>
        <v>-5.68</v>
      </c>
      <c r="V21" s="1" t="s">
        <v>13</v>
      </c>
      <c r="W21" s="2">
        <v>880</v>
      </c>
      <c r="X21" s="2">
        <v>758</v>
      </c>
      <c r="Y21" s="2">
        <v>758</v>
      </c>
      <c r="Z21" s="3">
        <v>1</v>
      </c>
      <c r="AA21" s="2">
        <v>12502.8</v>
      </c>
      <c r="AB21" s="2">
        <v>16.494458999999999</v>
      </c>
      <c r="AC21" s="2">
        <v>762</v>
      </c>
      <c r="AD21" s="2">
        <v>726</v>
      </c>
      <c r="AE21" s="3">
        <v>0.952755905511811</v>
      </c>
      <c r="AF21" s="2">
        <v>12630</v>
      </c>
      <c r="AG21" s="2">
        <v>17.396694214876</v>
      </c>
      <c r="AH21" s="2">
        <v>747</v>
      </c>
      <c r="AI21" s="3">
        <v>1</v>
      </c>
      <c r="AJ21" s="2">
        <v>12544.2</v>
      </c>
      <c r="AK21" s="2">
        <v>16.792771084337399</v>
      </c>
    </row>
    <row r="22" spans="1:37" ht="14.7" customHeight="1" x14ac:dyDescent="0.3">
      <c r="B22" s="7" t="s">
        <v>108</v>
      </c>
      <c r="C22" s="14">
        <v>57</v>
      </c>
      <c r="D22" s="14">
        <v>51</v>
      </c>
      <c r="E22" s="14">
        <v>51</v>
      </c>
      <c r="F22" s="17">
        <v>1</v>
      </c>
      <c r="G22" s="14">
        <v>674.4</v>
      </c>
      <c r="H22" s="14">
        <v>13.223528999999999</v>
      </c>
      <c r="I22" s="14">
        <v>18</v>
      </c>
      <c r="J22" s="14">
        <v>51</v>
      </c>
      <c r="K22" s="14">
        <v>46</v>
      </c>
      <c r="L22" s="17">
        <v>0.90196078431372595</v>
      </c>
      <c r="M22" s="14">
        <v>747</v>
      </c>
      <c r="N22" s="14">
        <v>16.239130434782599</v>
      </c>
      <c r="O22" s="14">
        <v>44</v>
      </c>
      <c r="P22" s="17">
        <v>0.97777777777777797</v>
      </c>
      <c r="Q22" s="14">
        <v>671.4</v>
      </c>
      <c r="R22" s="14">
        <v>15.259090909090901</v>
      </c>
      <c r="S22" s="10">
        <f t="shared" si="0"/>
        <v>4.7764710000000008</v>
      </c>
      <c r="V22" s="1" t="s">
        <v>19</v>
      </c>
      <c r="W22" s="2">
        <v>1216</v>
      </c>
      <c r="X22" s="2">
        <v>1071</v>
      </c>
      <c r="Y22" s="2">
        <v>1067</v>
      </c>
      <c r="Z22" s="3">
        <v>0.99626517273576098</v>
      </c>
      <c r="AA22" s="2">
        <v>12304.2</v>
      </c>
      <c r="AB22" s="2">
        <v>11.531582999999999</v>
      </c>
      <c r="AC22" s="2">
        <v>1074</v>
      </c>
      <c r="AD22" s="2">
        <v>962</v>
      </c>
      <c r="AE22" s="3">
        <v>0.89571694599627605</v>
      </c>
      <c r="AF22" s="2">
        <v>13342.8</v>
      </c>
      <c r="AG22" s="2">
        <v>13.8698544698545</v>
      </c>
      <c r="AH22" s="2">
        <v>985</v>
      </c>
      <c r="AI22" s="3">
        <v>1</v>
      </c>
      <c r="AJ22" s="2">
        <v>10381.200000000001</v>
      </c>
      <c r="AK22" s="2">
        <v>10.539289340101501</v>
      </c>
    </row>
    <row r="23" spans="1:37" ht="14.7" customHeight="1" x14ac:dyDescent="0.3">
      <c r="B23" s="7" t="s">
        <v>118</v>
      </c>
      <c r="C23" s="14">
        <v>163</v>
      </c>
      <c r="D23" s="14">
        <v>156</v>
      </c>
      <c r="E23" s="14">
        <v>153</v>
      </c>
      <c r="F23" s="17">
        <v>0.98076923076923095</v>
      </c>
      <c r="G23" s="14">
        <v>1471.2</v>
      </c>
      <c r="H23" s="14">
        <v>9.6156860000000002</v>
      </c>
      <c r="I23" s="14">
        <v>12</v>
      </c>
      <c r="J23" s="14">
        <v>156</v>
      </c>
      <c r="K23" s="14">
        <v>138</v>
      </c>
      <c r="L23" s="17">
        <v>0.88461538461538503</v>
      </c>
      <c r="M23" s="14">
        <v>1485</v>
      </c>
      <c r="N23" s="14">
        <v>10.7608695652174</v>
      </c>
      <c r="O23" s="14">
        <v>119</v>
      </c>
      <c r="P23" s="17">
        <v>0.95967741935483897</v>
      </c>
      <c r="Q23" s="14">
        <v>1288.2</v>
      </c>
      <c r="R23" s="14">
        <v>10.8252100840336</v>
      </c>
      <c r="S23" s="10">
        <f t="shared" si="0"/>
        <v>2.3843139999999998</v>
      </c>
      <c r="V23" s="1" t="s">
        <v>10</v>
      </c>
      <c r="W23" s="2">
        <v>1857</v>
      </c>
      <c r="X23" s="2">
        <v>1587</v>
      </c>
      <c r="Y23" s="2">
        <v>1483</v>
      </c>
      <c r="Z23" s="3">
        <v>0.93446754883427896</v>
      </c>
      <c r="AA23" s="2">
        <v>14207.4</v>
      </c>
      <c r="AB23" s="2">
        <v>9.5801750000000006</v>
      </c>
      <c r="AC23" s="2">
        <v>1594</v>
      </c>
      <c r="AD23" s="2">
        <v>1257</v>
      </c>
      <c r="AE23" s="3">
        <v>0.78858218318695095</v>
      </c>
      <c r="AF23" s="2">
        <v>12983.4</v>
      </c>
      <c r="AG23" s="2">
        <v>10.328878281622901</v>
      </c>
      <c r="AH23" s="2">
        <v>1179</v>
      </c>
      <c r="AI23" s="3">
        <v>0.99830651989839103</v>
      </c>
      <c r="AJ23" s="2">
        <v>9091.7999999999993</v>
      </c>
      <c r="AK23" s="2">
        <v>7.7114503816793896</v>
      </c>
    </row>
    <row r="24" spans="1:37" ht="14.7" customHeight="1" x14ac:dyDescent="0.3">
      <c r="B24" s="7" t="s">
        <v>78</v>
      </c>
      <c r="C24" s="14">
        <v>541</v>
      </c>
      <c r="D24" s="14">
        <v>493</v>
      </c>
      <c r="E24" s="14">
        <v>482</v>
      </c>
      <c r="F24" s="17">
        <v>0.977687626774848</v>
      </c>
      <c r="G24" s="14">
        <v>4248</v>
      </c>
      <c r="H24" s="14">
        <v>8.8132780000000004</v>
      </c>
      <c r="I24" s="14">
        <v>12</v>
      </c>
      <c r="J24" s="14">
        <v>494</v>
      </c>
      <c r="K24" s="14">
        <v>420</v>
      </c>
      <c r="L24" s="17">
        <v>0.85020242914979804</v>
      </c>
      <c r="M24" s="14">
        <v>4372.8</v>
      </c>
      <c r="N24" s="14">
        <v>10.411428571428599</v>
      </c>
      <c r="O24" s="14">
        <v>328</v>
      </c>
      <c r="P24" s="17">
        <v>0.99696048632218803</v>
      </c>
      <c r="Q24" s="14">
        <v>4414.2</v>
      </c>
      <c r="R24" s="14">
        <v>13.457926829268301</v>
      </c>
      <c r="S24" s="10">
        <f t="shared" si="0"/>
        <v>3.1867219999999996</v>
      </c>
      <c r="V24" s="1" t="s">
        <v>9</v>
      </c>
      <c r="W24" s="2">
        <v>3492</v>
      </c>
      <c r="X24" s="2">
        <v>2955</v>
      </c>
      <c r="Y24" s="2">
        <v>977</v>
      </c>
      <c r="Z24" s="3">
        <v>0.33062605752961099</v>
      </c>
      <c r="AA24" s="2">
        <v>5665.2</v>
      </c>
      <c r="AB24" s="2">
        <v>5.7985670000000002</v>
      </c>
      <c r="AC24" s="2">
        <v>2961</v>
      </c>
      <c r="AD24" s="2">
        <v>1635</v>
      </c>
      <c r="AE24" s="3">
        <v>0.55217831813576501</v>
      </c>
      <c r="AF24" s="2">
        <v>10795.8</v>
      </c>
      <c r="AG24" s="2">
        <v>6.6029357798165202</v>
      </c>
      <c r="AH24" s="2">
        <v>1152</v>
      </c>
      <c r="AI24" s="3">
        <v>0.98126064735945495</v>
      </c>
      <c r="AJ24" s="2">
        <v>6241.1999999999898</v>
      </c>
      <c r="AK24" s="2">
        <v>5.4177083333333202</v>
      </c>
    </row>
    <row r="25" spans="1:37" ht="14.7" customHeight="1" x14ac:dyDescent="0.3">
      <c r="B25" s="7" t="s">
        <v>135</v>
      </c>
      <c r="C25" s="14">
        <v>8</v>
      </c>
      <c r="D25" s="14">
        <v>8</v>
      </c>
      <c r="E25" s="14">
        <v>8</v>
      </c>
      <c r="F25" s="17">
        <v>1</v>
      </c>
      <c r="G25" s="14">
        <v>54</v>
      </c>
      <c r="H25" s="14">
        <v>6.75</v>
      </c>
      <c r="I25" s="14">
        <v>12</v>
      </c>
      <c r="J25" s="14">
        <v>8</v>
      </c>
      <c r="K25" s="14">
        <v>8</v>
      </c>
      <c r="L25" s="17">
        <v>1</v>
      </c>
      <c r="M25" s="14">
        <v>93</v>
      </c>
      <c r="N25" s="14">
        <v>11.625</v>
      </c>
      <c r="O25" s="14">
        <v>8</v>
      </c>
      <c r="P25" s="17">
        <v>1</v>
      </c>
      <c r="Q25" s="14">
        <v>56.4</v>
      </c>
      <c r="R25" s="14">
        <v>7.05</v>
      </c>
      <c r="S25" s="10">
        <f t="shared" si="0"/>
        <v>5.25</v>
      </c>
      <c r="V25" s="1" t="s">
        <v>15</v>
      </c>
      <c r="W25" s="2">
        <v>6779</v>
      </c>
      <c r="X25" s="2">
        <v>5744</v>
      </c>
      <c r="Y25" s="2">
        <v>933</v>
      </c>
      <c r="Z25" s="3">
        <v>0.16243036211699199</v>
      </c>
      <c r="AA25" s="2">
        <v>4176</v>
      </c>
      <c r="AB25" s="2">
        <v>4.4758839999999998</v>
      </c>
      <c r="AC25" s="2">
        <v>5780</v>
      </c>
      <c r="AD25" s="2">
        <v>1202</v>
      </c>
      <c r="AE25" s="3">
        <v>0.20795847750865101</v>
      </c>
      <c r="AF25" s="2">
        <v>4202.3999999999796</v>
      </c>
      <c r="AG25" s="2">
        <v>3.4961730449251101</v>
      </c>
      <c r="AH25" s="2">
        <v>983</v>
      </c>
      <c r="AI25" s="3">
        <v>0.90349264705882304</v>
      </c>
      <c r="AJ25" s="2">
        <v>5260.7999999999802</v>
      </c>
      <c r="AK25" s="2">
        <v>5.3517802644964201</v>
      </c>
    </row>
    <row r="26" spans="1:37" ht="14.7" customHeight="1" x14ac:dyDescent="0.3">
      <c r="B26" s="7" t="s">
        <v>122</v>
      </c>
      <c r="C26" s="14">
        <v>197</v>
      </c>
      <c r="D26" s="14">
        <v>172</v>
      </c>
      <c r="E26" s="14">
        <v>121</v>
      </c>
      <c r="F26" s="17">
        <v>0.70348837209302295</v>
      </c>
      <c r="G26" s="14">
        <v>631.79999999999995</v>
      </c>
      <c r="H26" s="14">
        <v>5.2214869999999998</v>
      </c>
      <c r="I26" s="14">
        <v>0</v>
      </c>
      <c r="J26" s="14">
        <v>173</v>
      </c>
      <c r="K26" s="14">
        <v>117</v>
      </c>
      <c r="L26" s="17">
        <v>0.67630057803468202</v>
      </c>
      <c r="M26" s="14">
        <v>1045.2</v>
      </c>
      <c r="N26" s="14">
        <v>8.93333333333333</v>
      </c>
      <c r="O26" s="14">
        <v>82</v>
      </c>
      <c r="P26" s="17">
        <v>0.98795180722891596</v>
      </c>
      <c r="Q26" s="14">
        <v>813</v>
      </c>
      <c r="R26" s="14">
        <v>9.9146341463414593</v>
      </c>
      <c r="S26" s="10">
        <f t="shared" si="0"/>
        <v>-5.2214869999999998</v>
      </c>
      <c r="V26" s="1" t="s">
        <v>40</v>
      </c>
      <c r="W26" s="2">
        <v>4411</v>
      </c>
      <c r="X26" s="2">
        <v>3682</v>
      </c>
      <c r="Y26" s="2">
        <v>0</v>
      </c>
      <c r="Z26" s="3">
        <v>0</v>
      </c>
      <c r="AA26" s="2">
        <v>0</v>
      </c>
      <c r="AB26" s="2">
        <v>0</v>
      </c>
      <c r="AC26" s="2">
        <v>3709</v>
      </c>
      <c r="AD26" s="2">
        <v>44</v>
      </c>
      <c r="AE26" s="3">
        <v>1.1863035858722001E-2</v>
      </c>
      <c r="AF26" s="2">
        <v>109.8</v>
      </c>
      <c r="AG26" s="2">
        <v>2.49545454545455</v>
      </c>
      <c r="AH26" s="2">
        <v>41</v>
      </c>
      <c r="AI26" s="3">
        <v>0.39805825242718401</v>
      </c>
      <c r="AJ26" s="2">
        <v>299.39999999999998</v>
      </c>
      <c r="AK26" s="2">
        <v>7.3024390243902397</v>
      </c>
    </row>
    <row r="27" spans="1:37" ht="14.7" customHeight="1" x14ac:dyDescent="0.3">
      <c r="B27" s="7" t="s">
        <v>136</v>
      </c>
      <c r="C27" s="14">
        <v>17</v>
      </c>
      <c r="D27" s="14">
        <v>15</v>
      </c>
      <c r="E27" s="14">
        <v>7</v>
      </c>
      <c r="F27" s="17">
        <v>0.46666666666666701</v>
      </c>
      <c r="G27" s="14">
        <v>37.200000000000003</v>
      </c>
      <c r="H27" s="14">
        <v>5.3142849999999999</v>
      </c>
      <c r="I27" s="14">
        <v>0</v>
      </c>
      <c r="J27" s="14">
        <v>15</v>
      </c>
      <c r="K27" s="14">
        <v>12</v>
      </c>
      <c r="L27" s="17">
        <v>0.8</v>
      </c>
      <c r="M27" s="14">
        <v>138</v>
      </c>
      <c r="N27" s="14">
        <v>11.5</v>
      </c>
      <c r="O27" s="14">
        <v>9</v>
      </c>
      <c r="P27" s="17">
        <v>0.9</v>
      </c>
      <c r="Q27" s="14">
        <v>76.2</v>
      </c>
      <c r="R27" s="14">
        <v>8.4666666666666703</v>
      </c>
      <c r="S27" s="10">
        <f t="shared" si="0"/>
        <v>-5.3142849999999999</v>
      </c>
      <c r="V27" s="1" t="s">
        <v>66</v>
      </c>
      <c r="W27" s="2">
        <v>6</v>
      </c>
      <c r="X27" s="2">
        <v>4</v>
      </c>
      <c r="Y27" s="2">
        <v>0</v>
      </c>
      <c r="Z27" s="3">
        <v>0</v>
      </c>
      <c r="AA27" s="2">
        <v>0</v>
      </c>
      <c r="AB27" s="2">
        <v>0</v>
      </c>
      <c r="AC27" s="2">
        <v>4</v>
      </c>
      <c r="AD27" s="2">
        <v>0</v>
      </c>
      <c r="AE27" s="3">
        <v>0</v>
      </c>
      <c r="AF27" s="2">
        <v>0</v>
      </c>
      <c r="AG27" s="2">
        <v>0</v>
      </c>
      <c r="AH27" s="2">
        <v>0</v>
      </c>
      <c r="AI27" s="3">
        <v>0</v>
      </c>
      <c r="AJ27" s="2">
        <v>0</v>
      </c>
      <c r="AK27" s="2">
        <v>0</v>
      </c>
    </row>
    <row r="28" spans="1:37" ht="14.7" customHeight="1" x14ac:dyDescent="0.3">
      <c r="B28" s="7" t="s">
        <v>79</v>
      </c>
      <c r="C28" s="14">
        <v>979</v>
      </c>
      <c r="D28" s="14">
        <v>784</v>
      </c>
      <c r="E28" s="14">
        <v>223</v>
      </c>
      <c r="F28" s="17">
        <v>0.28443877551020402</v>
      </c>
      <c r="G28" s="14">
        <v>981.6</v>
      </c>
      <c r="H28" s="14">
        <v>4.4017929999999996</v>
      </c>
      <c r="I28" s="14">
        <v>0</v>
      </c>
      <c r="J28" s="14">
        <v>784</v>
      </c>
      <c r="K28" s="14">
        <v>232</v>
      </c>
      <c r="L28" s="17">
        <v>0.29591836734693899</v>
      </c>
      <c r="M28" s="14">
        <v>1316.4</v>
      </c>
      <c r="N28" s="14">
        <v>5.6741379310344797</v>
      </c>
      <c r="O28" s="14">
        <v>253</v>
      </c>
      <c r="P28" s="17">
        <v>0.97307692307692295</v>
      </c>
      <c r="Q28" s="14">
        <v>2392.1999999999998</v>
      </c>
      <c r="R28" s="14">
        <v>9.4553359683794493</v>
      </c>
      <c r="S28" s="10">
        <f t="shared" si="0"/>
        <v>-4.4017929999999996</v>
      </c>
      <c r="V28" s="1" t="s">
        <v>44</v>
      </c>
      <c r="W28" s="2">
        <v>328</v>
      </c>
      <c r="X28" s="2">
        <v>271</v>
      </c>
      <c r="Y28" s="2">
        <v>0</v>
      </c>
      <c r="Z28" s="3">
        <v>0</v>
      </c>
      <c r="AA28" s="2">
        <v>0</v>
      </c>
      <c r="AB28" s="2">
        <v>0</v>
      </c>
      <c r="AC28" s="2">
        <v>271</v>
      </c>
      <c r="AD28" s="2">
        <v>0</v>
      </c>
      <c r="AE28" s="3">
        <v>0</v>
      </c>
      <c r="AF28" s="2">
        <v>0</v>
      </c>
      <c r="AG28" s="2">
        <v>0</v>
      </c>
      <c r="AH28" s="2">
        <v>0</v>
      </c>
      <c r="AI28" s="3">
        <v>0</v>
      </c>
      <c r="AJ28" s="2">
        <v>0</v>
      </c>
      <c r="AK28" s="2">
        <v>0</v>
      </c>
    </row>
    <row r="29" spans="1:37" ht="14.7" customHeight="1" x14ac:dyDescent="0.3">
      <c r="B29" s="7" t="s">
        <v>126</v>
      </c>
      <c r="C29" s="14">
        <v>3</v>
      </c>
      <c r="D29" s="14">
        <v>3</v>
      </c>
      <c r="E29" s="14">
        <v>2</v>
      </c>
      <c r="F29" s="17">
        <v>0.66666666666666696</v>
      </c>
      <c r="G29" s="14">
        <v>15</v>
      </c>
      <c r="H29" s="14">
        <v>7.5</v>
      </c>
      <c r="I29" s="14">
        <v>12</v>
      </c>
      <c r="J29" s="14">
        <v>3</v>
      </c>
      <c r="K29" s="14">
        <v>2</v>
      </c>
      <c r="L29" s="17">
        <v>0.66666666666666696</v>
      </c>
      <c r="M29" s="14">
        <v>21</v>
      </c>
      <c r="N29" s="14">
        <v>10.5</v>
      </c>
      <c r="O29" s="14">
        <v>2</v>
      </c>
      <c r="P29" s="17">
        <v>1</v>
      </c>
      <c r="Q29" s="14">
        <v>30</v>
      </c>
      <c r="R29" s="14">
        <v>15</v>
      </c>
      <c r="S29" s="10">
        <f t="shared" si="0"/>
        <v>4.5</v>
      </c>
      <c r="V29" s="1" t="s">
        <v>43</v>
      </c>
      <c r="W29" s="2">
        <v>2893</v>
      </c>
      <c r="X29" s="2">
        <v>2093</v>
      </c>
      <c r="Y29" s="2">
        <v>0</v>
      </c>
      <c r="Z29" s="3">
        <v>0</v>
      </c>
      <c r="AA29" s="2">
        <v>0</v>
      </c>
      <c r="AB29" s="2">
        <v>0</v>
      </c>
      <c r="AC29" s="2">
        <v>2102</v>
      </c>
      <c r="AD29" s="2">
        <v>0</v>
      </c>
      <c r="AE29" s="3">
        <v>0</v>
      </c>
      <c r="AF29" s="2">
        <v>0</v>
      </c>
      <c r="AG29" s="2">
        <v>0</v>
      </c>
      <c r="AH29" s="2">
        <v>0</v>
      </c>
      <c r="AI29" s="3">
        <v>0</v>
      </c>
      <c r="AJ29" s="2">
        <v>0</v>
      </c>
      <c r="AK29" s="2">
        <v>0</v>
      </c>
    </row>
    <row r="30" spans="1:37" ht="14.7" customHeight="1" x14ac:dyDescent="0.3">
      <c r="B30" s="7" t="s">
        <v>128</v>
      </c>
      <c r="C30" s="14">
        <v>222</v>
      </c>
      <c r="D30" s="14">
        <v>190</v>
      </c>
      <c r="E30" s="14">
        <v>154</v>
      </c>
      <c r="F30" s="17">
        <v>0.81052631578947398</v>
      </c>
      <c r="G30" s="14">
        <v>856.2</v>
      </c>
      <c r="H30" s="14">
        <v>5.5597399999999997</v>
      </c>
      <c r="I30" s="14">
        <v>6</v>
      </c>
      <c r="J30" s="14">
        <v>190</v>
      </c>
      <c r="K30" s="14">
        <v>94</v>
      </c>
      <c r="L30" s="17">
        <v>0.49473684210526298</v>
      </c>
      <c r="M30" s="14">
        <v>670.8</v>
      </c>
      <c r="N30" s="14">
        <v>7.1361702127659603</v>
      </c>
      <c r="O30" s="14">
        <v>62</v>
      </c>
      <c r="P30" s="17">
        <v>0.95384615384615401</v>
      </c>
      <c r="Q30" s="14">
        <v>591</v>
      </c>
      <c r="R30" s="14">
        <v>9.5322580645161299</v>
      </c>
      <c r="S30" s="10">
        <f t="shared" si="0"/>
        <v>0.44026000000000032</v>
      </c>
    </row>
    <row r="31" spans="1:37" ht="14.7" customHeight="1" x14ac:dyDescent="0.3">
      <c r="B31" s="7" t="s">
        <v>140</v>
      </c>
      <c r="C31" s="14">
        <v>3</v>
      </c>
      <c r="D31" s="14">
        <v>3</v>
      </c>
      <c r="E31" s="14">
        <v>1</v>
      </c>
      <c r="F31" s="17">
        <v>0.33333333333333298</v>
      </c>
      <c r="G31" s="14">
        <v>1.2</v>
      </c>
      <c r="H31" s="14">
        <v>1.2</v>
      </c>
      <c r="I31" s="14">
        <v>0</v>
      </c>
      <c r="J31" s="14">
        <v>3</v>
      </c>
      <c r="K31" s="14">
        <v>2</v>
      </c>
      <c r="L31" s="17">
        <v>0.66666666666666696</v>
      </c>
      <c r="M31" s="14">
        <v>15</v>
      </c>
      <c r="N31" s="14">
        <v>7.5</v>
      </c>
      <c r="O31" s="14">
        <v>2</v>
      </c>
      <c r="P31" s="17">
        <v>1</v>
      </c>
      <c r="Q31" s="14">
        <v>4.2</v>
      </c>
      <c r="R31" s="14">
        <v>2.1</v>
      </c>
      <c r="S31" s="10">
        <f t="shared" si="0"/>
        <v>-1.2</v>
      </c>
    </row>
    <row r="32" spans="1:37" ht="14.7" customHeight="1" x14ac:dyDescent="0.3">
      <c r="B32" s="7" t="s">
        <v>77</v>
      </c>
      <c r="C32" s="14">
        <v>34080</v>
      </c>
      <c r="D32" s="14">
        <v>28629</v>
      </c>
      <c r="E32" s="14">
        <v>1761</v>
      </c>
      <c r="F32" s="17">
        <v>6.1511055223724201E-2</v>
      </c>
      <c r="G32" s="14">
        <v>7082.4</v>
      </c>
      <c r="H32" s="14">
        <v>4.0218049999999996</v>
      </c>
      <c r="I32" s="14">
        <v>0</v>
      </c>
      <c r="J32" s="14">
        <v>28623</v>
      </c>
      <c r="K32" s="14">
        <v>1342</v>
      </c>
      <c r="L32" s="17">
        <v>4.68853719037138E-2</v>
      </c>
      <c r="M32" s="14">
        <v>5766</v>
      </c>
      <c r="N32" s="14">
        <v>4.2965722801788404</v>
      </c>
      <c r="O32" s="14">
        <v>1290</v>
      </c>
      <c r="P32" s="17">
        <v>0.97579425113464402</v>
      </c>
      <c r="Q32" s="14">
        <v>14769.6</v>
      </c>
      <c r="R32" s="14">
        <v>11.449302325581399</v>
      </c>
      <c r="S32" s="10">
        <f t="shared" si="0"/>
        <v>-4.0218049999999996</v>
      </c>
    </row>
    <row r="33" spans="1:39" ht="14.7" customHeight="1" x14ac:dyDescent="0.3">
      <c r="B33" s="7" t="s">
        <v>100</v>
      </c>
      <c r="C33" s="14">
        <v>508</v>
      </c>
      <c r="D33" s="14">
        <v>459</v>
      </c>
      <c r="E33" s="14">
        <v>456</v>
      </c>
      <c r="F33" s="17">
        <v>0.99346405228758194</v>
      </c>
      <c r="G33" s="14">
        <v>3903</v>
      </c>
      <c r="H33" s="14">
        <v>8.5592100000000002</v>
      </c>
      <c r="I33" s="14">
        <v>12</v>
      </c>
      <c r="J33" s="14">
        <v>461</v>
      </c>
      <c r="K33" s="14">
        <v>298</v>
      </c>
      <c r="L33" s="17">
        <v>0.64642082429501102</v>
      </c>
      <c r="M33" s="14">
        <v>2457</v>
      </c>
      <c r="N33" s="14">
        <v>8.2449664429530198</v>
      </c>
      <c r="O33" s="14">
        <v>190</v>
      </c>
      <c r="P33" s="17">
        <v>0.99476439790575899</v>
      </c>
      <c r="Q33" s="14">
        <v>2332.1999999999998</v>
      </c>
      <c r="R33" s="14">
        <v>12.2747368421053</v>
      </c>
      <c r="S33" s="10">
        <f t="shared" si="0"/>
        <v>3.4407899999999998</v>
      </c>
    </row>
    <row r="34" spans="1:39" ht="14.7" customHeight="1" x14ac:dyDescent="0.3">
      <c r="B34" s="7" t="s">
        <v>105</v>
      </c>
      <c r="C34" s="14">
        <v>109</v>
      </c>
      <c r="D34" s="14">
        <v>106</v>
      </c>
      <c r="E34" s="14">
        <v>103</v>
      </c>
      <c r="F34" s="17">
        <v>0.97169811320754695</v>
      </c>
      <c r="G34" s="14">
        <v>874.2</v>
      </c>
      <c r="H34" s="14">
        <v>8.4873779999999996</v>
      </c>
      <c r="I34" s="14">
        <v>12</v>
      </c>
      <c r="J34" s="14">
        <v>107</v>
      </c>
      <c r="K34" s="14">
        <v>75</v>
      </c>
      <c r="L34" s="17">
        <v>0.70093457943925197</v>
      </c>
      <c r="M34" s="14">
        <v>632.4</v>
      </c>
      <c r="N34" s="14">
        <v>8.4320000000000004</v>
      </c>
      <c r="O34" s="14">
        <v>52</v>
      </c>
      <c r="P34" s="17">
        <v>0.92857142857142905</v>
      </c>
      <c r="Q34" s="14">
        <v>602.4</v>
      </c>
      <c r="R34" s="14">
        <v>11.5846153846154</v>
      </c>
      <c r="S34" s="10">
        <f t="shared" si="0"/>
        <v>3.5126220000000004</v>
      </c>
    </row>
    <row r="35" spans="1:39" ht="14.7" customHeight="1" x14ac:dyDescent="0.3">
      <c r="B35" s="7" t="s">
        <v>137</v>
      </c>
      <c r="C35" s="14">
        <v>990</v>
      </c>
      <c r="D35" s="14">
        <v>854</v>
      </c>
      <c r="E35" s="14">
        <v>0</v>
      </c>
      <c r="F35" s="17">
        <v>0</v>
      </c>
      <c r="G35" s="14">
        <v>0</v>
      </c>
      <c r="H35" s="14">
        <v>0</v>
      </c>
      <c r="I35" s="14">
        <v>0</v>
      </c>
      <c r="J35" s="14">
        <v>812</v>
      </c>
      <c r="K35" s="14">
        <v>1</v>
      </c>
      <c r="L35" s="17">
        <v>1.23152709359606E-3</v>
      </c>
      <c r="M35" s="14">
        <v>3</v>
      </c>
      <c r="N35" s="14">
        <v>3</v>
      </c>
      <c r="O35" s="14">
        <v>0</v>
      </c>
      <c r="P35" s="17">
        <v>0</v>
      </c>
      <c r="Q35" s="14">
        <v>0</v>
      </c>
      <c r="R35" s="14">
        <v>0</v>
      </c>
      <c r="S35" s="10">
        <f t="shared" si="0"/>
        <v>0</v>
      </c>
    </row>
    <row r="36" spans="1:39" ht="14.7" customHeight="1" x14ac:dyDescent="0.3">
      <c r="B36" s="7" t="s">
        <v>148</v>
      </c>
      <c r="C36" s="14">
        <v>1</v>
      </c>
      <c r="D36" s="14">
        <v>0</v>
      </c>
      <c r="E36" s="14">
        <v>0</v>
      </c>
      <c r="F36" s="17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7">
        <v>0</v>
      </c>
      <c r="M36" s="14">
        <v>0</v>
      </c>
      <c r="N36" s="14">
        <v>0</v>
      </c>
      <c r="O36" s="14">
        <v>0</v>
      </c>
      <c r="P36" s="17">
        <v>0</v>
      </c>
      <c r="Q36" s="14">
        <v>0</v>
      </c>
      <c r="R36" s="14">
        <v>0</v>
      </c>
      <c r="S36" s="10">
        <f t="shared" si="0"/>
        <v>0</v>
      </c>
      <c r="V36" s="12" t="s">
        <v>20</v>
      </c>
      <c r="W36" s="70" t="s">
        <v>67</v>
      </c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2"/>
    </row>
    <row r="37" spans="1:39" ht="14.7" customHeight="1" x14ac:dyDescent="0.3">
      <c r="B37" s="7" t="s">
        <v>142</v>
      </c>
      <c r="C37" s="14">
        <v>4318</v>
      </c>
      <c r="D37" s="14">
        <v>3650</v>
      </c>
      <c r="E37" s="14">
        <v>0</v>
      </c>
      <c r="F37" s="17">
        <v>0</v>
      </c>
      <c r="G37" s="14">
        <v>0</v>
      </c>
      <c r="H37" s="14">
        <v>0</v>
      </c>
      <c r="I37" s="14">
        <v>0</v>
      </c>
      <c r="J37" s="14">
        <v>3647</v>
      </c>
      <c r="K37" s="14">
        <v>0</v>
      </c>
      <c r="L37" s="17">
        <v>0</v>
      </c>
      <c r="M37" s="14">
        <v>0</v>
      </c>
      <c r="N37" s="14">
        <v>0</v>
      </c>
      <c r="O37" s="14">
        <v>0</v>
      </c>
      <c r="P37" s="17">
        <v>0</v>
      </c>
      <c r="Q37" s="14">
        <v>0</v>
      </c>
      <c r="R37" s="14">
        <v>0</v>
      </c>
      <c r="S37" s="10">
        <f t="shared" si="0"/>
        <v>0</v>
      </c>
      <c r="V37" s="1"/>
      <c r="W37" s="1"/>
      <c r="X37" s="65" t="s">
        <v>73</v>
      </c>
      <c r="Y37" s="66"/>
      <c r="Z37" s="66"/>
      <c r="AA37" s="66"/>
      <c r="AB37" s="67"/>
      <c r="AC37" s="65" t="s">
        <v>153</v>
      </c>
      <c r="AD37" s="67"/>
      <c r="AE37" s="65" t="s">
        <v>1</v>
      </c>
      <c r="AF37" s="66"/>
      <c r="AG37" s="66"/>
      <c r="AH37" s="66"/>
      <c r="AI37" s="67"/>
      <c r="AJ37" s="65" t="s">
        <v>156</v>
      </c>
      <c r="AK37" s="66"/>
      <c r="AL37" s="66"/>
      <c r="AM37" s="67"/>
    </row>
    <row r="38" spans="1:39" ht="14.7" customHeight="1" x14ac:dyDescent="0.3">
      <c r="B38" s="7" t="s">
        <v>121</v>
      </c>
      <c r="C38" s="14">
        <v>2603</v>
      </c>
      <c r="D38" s="14">
        <v>2204</v>
      </c>
      <c r="E38" s="14">
        <v>0</v>
      </c>
      <c r="F38" s="17">
        <v>0</v>
      </c>
      <c r="G38" s="14">
        <v>0</v>
      </c>
      <c r="H38" s="14">
        <v>0</v>
      </c>
      <c r="I38" s="14">
        <v>0</v>
      </c>
      <c r="J38" s="14">
        <v>2208</v>
      </c>
      <c r="K38" s="14">
        <v>5</v>
      </c>
      <c r="L38" s="17">
        <v>2.2644927536231898E-3</v>
      </c>
      <c r="M38" s="14">
        <v>18</v>
      </c>
      <c r="N38" s="14">
        <v>3.6</v>
      </c>
      <c r="O38" s="14">
        <v>9</v>
      </c>
      <c r="P38" s="17">
        <v>0.69230769230769196</v>
      </c>
      <c r="Q38" s="14">
        <v>90.6</v>
      </c>
      <c r="R38" s="14">
        <v>10.0666666666667</v>
      </c>
      <c r="S38" s="10">
        <f t="shared" si="0"/>
        <v>0</v>
      </c>
      <c r="V38" s="1" t="s">
        <v>68</v>
      </c>
      <c r="W38" s="1" t="s">
        <v>5</v>
      </c>
      <c r="X38" s="4" t="s">
        <v>2</v>
      </c>
      <c r="Y38" s="4" t="s">
        <v>0</v>
      </c>
      <c r="Z38" s="5" t="s">
        <v>3</v>
      </c>
      <c r="AA38" s="5" t="s">
        <v>4</v>
      </c>
      <c r="AB38" s="6" t="s">
        <v>6</v>
      </c>
      <c r="AC38" s="6" t="s">
        <v>154</v>
      </c>
      <c r="AD38" s="6" t="s">
        <v>154</v>
      </c>
      <c r="AE38" s="4" t="s">
        <v>2</v>
      </c>
      <c r="AF38" s="4" t="s">
        <v>0</v>
      </c>
      <c r="AG38" s="5" t="s">
        <v>3</v>
      </c>
      <c r="AH38" s="5" t="s">
        <v>4</v>
      </c>
      <c r="AI38" s="6" t="s">
        <v>7</v>
      </c>
      <c r="AJ38" s="4" t="s">
        <v>0</v>
      </c>
      <c r="AK38" s="5" t="s">
        <v>3</v>
      </c>
      <c r="AL38" s="5" t="s">
        <v>4</v>
      </c>
      <c r="AM38" s="6" t="s">
        <v>7</v>
      </c>
    </row>
    <row r="39" spans="1:39" ht="14.7" customHeight="1" x14ac:dyDescent="0.3">
      <c r="B39" s="18" t="s">
        <v>102</v>
      </c>
      <c r="C39" s="19">
        <v>213</v>
      </c>
      <c r="D39" s="19">
        <v>208</v>
      </c>
      <c r="E39" s="19">
        <v>208</v>
      </c>
      <c r="F39" s="20">
        <v>1</v>
      </c>
      <c r="G39" s="19">
        <v>6324</v>
      </c>
      <c r="H39" s="19">
        <v>30.403846000000001</v>
      </c>
      <c r="I39" s="19">
        <v>36</v>
      </c>
      <c r="J39" s="19">
        <v>207</v>
      </c>
      <c r="K39" s="19">
        <v>207</v>
      </c>
      <c r="L39" s="20">
        <v>1</v>
      </c>
      <c r="M39" s="19">
        <v>4362</v>
      </c>
      <c r="N39" s="19">
        <v>21.072463768115899</v>
      </c>
      <c r="O39" s="19">
        <v>207</v>
      </c>
      <c r="P39" s="20">
        <v>1</v>
      </c>
      <c r="Q39" s="19">
        <v>4858.2</v>
      </c>
      <c r="R39" s="19">
        <v>23.469565217391299</v>
      </c>
      <c r="S39" s="21">
        <f t="shared" si="0"/>
        <v>5.5961539999999985</v>
      </c>
      <c r="V39" s="1" t="s">
        <v>150</v>
      </c>
      <c r="W39" s="2">
        <v>956</v>
      </c>
      <c r="X39" s="2">
        <v>892</v>
      </c>
      <c r="Y39" s="2">
        <v>890</v>
      </c>
      <c r="Z39" s="3">
        <v>0.99775784753363195</v>
      </c>
      <c r="AA39" s="2">
        <v>18368.400000000001</v>
      </c>
      <c r="AB39" s="2">
        <v>20.638650999999999</v>
      </c>
      <c r="AC39" s="2">
        <v>28</v>
      </c>
      <c r="AD39" s="2">
        <v>21.216216216216218</v>
      </c>
      <c r="AE39" s="2">
        <v>897</v>
      </c>
      <c r="AF39" s="2">
        <v>892</v>
      </c>
      <c r="AG39" s="3">
        <v>0.99442586399108102</v>
      </c>
      <c r="AH39" s="2">
        <v>25201.8</v>
      </c>
      <c r="AI39" s="2">
        <v>28.253139013452898</v>
      </c>
      <c r="AJ39" s="2">
        <v>872</v>
      </c>
      <c r="AK39" s="3">
        <v>1</v>
      </c>
      <c r="AL39" s="2">
        <v>21140.400000000001</v>
      </c>
      <c r="AM39" s="2">
        <v>24.243577981651399</v>
      </c>
    </row>
    <row r="40" spans="1:39" ht="14.7" customHeight="1" x14ac:dyDescent="0.3">
      <c r="A40" s="24"/>
      <c r="B40" s="7" t="s">
        <v>85</v>
      </c>
      <c r="C40" s="14">
        <v>103</v>
      </c>
      <c r="D40" s="14">
        <v>78</v>
      </c>
      <c r="E40" s="14">
        <v>58</v>
      </c>
      <c r="F40" s="17">
        <v>0.74358974358974395</v>
      </c>
      <c r="G40" s="14">
        <v>618.6</v>
      </c>
      <c r="H40" s="14">
        <v>10.665516999999999</v>
      </c>
      <c r="I40" s="14">
        <v>0</v>
      </c>
      <c r="J40" s="14">
        <v>79</v>
      </c>
      <c r="K40" s="14">
        <v>78</v>
      </c>
      <c r="L40" s="17">
        <v>0.987341772151899</v>
      </c>
      <c r="M40" s="14">
        <v>1095</v>
      </c>
      <c r="N40" s="14">
        <v>14.038461538461499</v>
      </c>
      <c r="O40" s="14">
        <v>79</v>
      </c>
      <c r="P40" s="17">
        <v>1</v>
      </c>
      <c r="Q40" s="14">
        <v>1896</v>
      </c>
      <c r="R40" s="14">
        <v>24</v>
      </c>
      <c r="S40" s="23">
        <f t="shared" si="0"/>
        <v>-10.665516999999999</v>
      </c>
      <c r="V40" s="1" t="s">
        <v>157</v>
      </c>
      <c r="W40" s="2">
        <v>883</v>
      </c>
      <c r="X40" s="2">
        <v>823</v>
      </c>
      <c r="Y40" s="2">
        <v>819</v>
      </c>
      <c r="Z40" s="3">
        <v>0.99513973268529798</v>
      </c>
      <c r="AA40" s="2">
        <v>16827</v>
      </c>
      <c r="AB40" s="2">
        <v>20.545787000000001</v>
      </c>
      <c r="AC40" s="2">
        <v>28</v>
      </c>
      <c r="AD40" s="2">
        <v>23.7</v>
      </c>
      <c r="AE40" s="2">
        <v>826</v>
      </c>
      <c r="AF40" s="2">
        <v>826</v>
      </c>
      <c r="AG40" s="3">
        <v>1</v>
      </c>
      <c r="AH40" s="2">
        <v>23140.799999999999</v>
      </c>
      <c r="AI40" s="2">
        <v>28.015496368038701</v>
      </c>
      <c r="AJ40" s="2">
        <v>822</v>
      </c>
      <c r="AK40" s="3">
        <v>1</v>
      </c>
      <c r="AL40" s="2">
        <v>19288.2</v>
      </c>
      <c r="AM40" s="2">
        <v>23.464963503649599</v>
      </c>
    </row>
    <row r="41" spans="1:39" ht="14.7" customHeight="1" x14ac:dyDescent="0.3">
      <c r="B41" s="7" t="s">
        <v>112</v>
      </c>
      <c r="C41" s="14">
        <v>180</v>
      </c>
      <c r="D41" s="14">
        <v>163</v>
      </c>
      <c r="E41" s="14">
        <v>160</v>
      </c>
      <c r="F41" s="17">
        <v>0.98159509202453998</v>
      </c>
      <c r="G41" s="14">
        <v>1420.2</v>
      </c>
      <c r="H41" s="14">
        <v>8.8762500000000006</v>
      </c>
      <c r="I41" s="14">
        <v>6</v>
      </c>
      <c r="J41" s="14">
        <v>163</v>
      </c>
      <c r="K41" s="14">
        <v>163</v>
      </c>
      <c r="L41" s="17">
        <v>1</v>
      </c>
      <c r="M41" s="14">
        <v>3705</v>
      </c>
      <c r="N41" s="14">
        <v>22.730061349693301</v>
      </c>
      <c r="O41" s="14">
        <v>163</v>
      </c>
      <c r="P41" s="17">
        <v>1</v>
      </c>
      <c r="Q41" s="14">
        <v>4669.2</v>
      </c>
      <c r="R41" s="14">
        <v>28.6453987730061</v>
      </c>
      <c r="S41" s="23">
        <f t="shared" si="0"/>
        <v>-2.8762500000000006</v>
      </c>
      <c r="V41" s="1" t="s">
        <v>158</v>
      </c>
      <c r="W41" s="2">
        <v>1206</v>
      </c>
      <c r="X41" s="2">
        <v>1064</v>
      </c>
      <c r="Y41" s="2">
        <v>986</v>
      </c>
      <c r="Z41" s="3">
        <v>0.92669172932330801</v>
      </c>
      <c r="AA41" s="2">
        <v>14662.2</v>
      </c>
      <c r="AB41" s="2">
        <v>14.870385000000001</v>
      </c>
      <c r="AC41" s="2">
        <v>19</v>
      </c>
      <c r="AD41" s="2">
        <v>17.517241379310345</v>
      </c>
      <c r="AE41" s="2">
        <v>1070</v>
      </c>
      <c r="AF41" s="2">
        <v>1008</v>
      </c>
      <c r="AG41" s="3">
        <v>0.942056074766355</v>
      </c>
      <c r="AH41" s="2">
        <v>15541.8</v>
      </c>
      <c r="AI41" s="2">
        <v>15.418452380952401</v>
      </c>
      <c r="AJ41" s="2">
        <v>957</v>
      </c>
      <c r="AK41" s="3">
        <v>1</v>
      </c>
      <c r="AL41" s="2">
        <v>13984.2</v>
      </c>
      <c r="AM41" s="2">
        <v>14.612539184953</v>
      </c>
    </row>
    <row r="42" spans="1:39" ht="14.7" customHeight="1" x14ac:dyDescent="0.3">
      <c r="A42" s="24" t="s">
        <v>159</v>
      </c>
      <c r="B42" s="18" t="s">
        <v>107</v>
      </c>
      <c r="C42" s="19">
        <v>296</v>
      </c>
      <c r="D42" s="19">
        <v>268</v>
      </c>
      <c r="E42" s="19">
        <v>268</v>
      </c>
      <c r="F42" s="20">
        <v>1</v>
      </c>
      <c r="G42" s="19">
        <v>7891.2</v>
      </c>
      <c r="H42" s="19">
        <v>29.444776000000001</v>
      </c>
      <c r="I42" s="19">
        <v>36</v>
      </c>
      <c r="J42" s="19">
        <v>268</v>
      </c>
      <c r="K42" s="19">
        <v>267</v>
      </c>
      <c r="L42" s="20">
        <v>0.99626865671641796</v>
      </c>
      <c r="M42" s="19">
        <v>5971.8</v>
      </c>
      <c r="N42" s="19">
        <v>22.3662921348315</v>
      </c>
      <c r="O42" s="19">
        <v>268</v>
      </c>
      <c r="P42" s="20">
        <v>1</v>
      </c>
      <c r="Q42" s="19">
        <v>7339.8</v>
      </c>
      <c r="R42" s="19">
        <v>27.3873134328358</v>
      </c>
      <c r="S42" s="21">
        <f t="shared" si="0"/>
        <v>6.5552239999999991</v>
      </c>
    </row>
    <row r="43" spans="1:39" ht="14.7" customHeight="1" x14ac:dyDescent="0.3">
      <c r="A43" s="24" t="s">
        <v>159</v>
      </c>
      <c r="B43" s="18" t="s">
        <v>110</v>
      </c>
      <c r="C43" s="19">
        <v>34</v>
      </c>
      <c r="D43" s="19">
        <v>28</v>
      </c>
      <c r="E43" s="19">
        <v>28</v>
      </c>
      <c r="F43" s="20">
        <v>1</v>
      </c>
      <c r="G43" s="19">
        <v>746.4</v>
      </c>
      <c r="H43" s="19">
        <v>26.657142</v>
      </c>
      <c r="I43" s="19">
        <v>36</v>
      </c>
      <c r="J43" s="19">
        <v>28</v>
      </c>
      <c r="K43" s="19">
        <v>28</v>
      </c>
      <c r="L43" s="20">
        <v>1</v>
      </c>
      <c r="M43" s="19">
        <v>633</v>
      </c>
      <c r="N43" s="19">
        <v>22.6071428571429</v>
      </c>
      <c r="O43" s="19">
        <v>28</v>
      </c>
      <c r="P43" s="20">
        <v>1</v>
      </c>
      <c r="Q43" s="19">
        <v>796.2</v>
      </c>
      <c r="R43" s="19">
        <v>28.435714285714301</v>
      </c>
      <c r="S43" s="21">
        <f t="shared" si="0"/>
        <v>9.3428579999999997</v>
      </c>
    </row>
    <row r="44" spans="1:39" ht="14.7" customHeight="1" x14ac:dyDescent="0.3">
      <c r="B44" s="7" t="s">
        <v>97</v>
      </c>
      <c r="C44" s="14">
        <v>75</v>
      </c>
      <c r="D44" s="14">
        <v>60</v>
      </c>
      <c r="E44" s="14">
        <v>53</v>
      </c>
      <c r="F44" s="17">
        <v>0.88333333333333297</v>
      </c>
      <c r="G44" s="14">
        <v>449.4</v>
      </c>
      <c r="H44" s="14">
        <v>8.4792450000000006</v>
      </c>
      <c r="I44" s="14">
        <v>0</v>
      </c>
      <c r="J44" s="14">
        <v>60</v>
      </c>
      <c r="K44" s="14">
        <v>58</v>
      </c>
      <c r="L44" s="17">
        <v>0.96666666666666701</v>
      </c>
      <c r="M44" s="14">
        <v>1005</v>
      </c>
      <c r="N44" s="14">
        <v>17.327586206896601</v>
      </c>
      <c r="O44" s="14">
        <v>60</v>
      </c>
      <c r="P44" s="17">
        <v>1</v>
      </c>
      <c r="Q44" s="14">
        <v>1629</v>
      </c>
      <c r="R44" s="14">
        <v>27.15</v>
      </c>
      <c r="S44" s="23">
        <f t="shared" si="0"/>
        <v>-8.4792450000000006</v>
      </c>
    </row>
    <row r="45" spans="1:39" ht="14.7" customHeight="1" x14ac:dyDescent="0.3">
      <c r="B45" s="7" t="s">
        <v>75</v>
      </c>
      <c r="C45" s="14">
        <v>364</v>
      </c>
      <c r="D45" s="14">
        <v>334</v>
      </c>
      <c r="E45" s="14">
        <v>308</v>
      </c>
      <c r="F45" s="17">
        <v>0.92215568862275499</v>
      </c>
      <c r="G45" s="14">
        <v>2086.1999999999998</v>
      </c>
      <c r="H45" s="14">
        <v>6.7733759999999998</v>
      </c>
      <c r="I45" s="14">
        <v>0</v>
      </c>
      <c r="J45" s="14">
        <v>335</v>
      </c>
      <c r="K45" s="14">
        <v>330</v>
      </c>
      <c r="L45" s="17">
        <v>0.98507462686567204</v>
      </c>
      <c r="M45" s="14">
        <v>5557.2</v>
      </c>
      <c r="N45" s="14">
        <v>16.84</v>
      </c>
      <c r="O45" s="14">
        <v>333</v>
      </c>
      <c r="P45" s="17">
        <v>1</v>
      </c>
      <c r="Q45" s="14">
        <v>5006.3999999999996</v>
      </c>
      <c r="R45" s="14">
        <v>15.0342342342342</v>
      </c>
      <c r="S45" s="10">
        <f t="shared" si="0"/>
        <v>-6.7733759999999998</v>
      </c>
    </row>
    <row r="46" spans="1:39" ht="14.7" customHeight="1" x14ac:dyDescent="0.3">
      <c r="B46" s="7" t="s">
        <v>106</v>
      </c>
      <c r="C46" s="14">
        <v>418</v>
      </c>
      <c r="D46" s="14">
        <v>327</v>
      </c>
      <c r="E46" s="14">
        <v>214</v>
      </c>
      <c r="F46" s="17">
        <v>0.65443425076452599</v>
      </c>
      <c r="G46" s="14">
        <v>1491.6</v>
      </c>
      <c r="H46" s="14">
        <v>6.9700930000000003</v>
      </c>
      <c r="I46" s="14">
        <v>0</v>
      </c>
      <c r="J46" s="14">
        <v>325</v>
      </c>
      <c r="K46" s="14">
        <v>260</v>
      </c>
      <c r="L46" s="17">
        <v>0.8</v>
      </c>
      <c r="M46" s="14">
        <v>2514</v>
      </c>
      <c r="N46" s="14">
        <v>9.6692307692307704</v>
      </c>
      <c r="O46" s="14">
        <v>314</v>
      </c>
      <c r="P46" s="17">
        <v>0.99682539682539695</v>
      </c>
      <c r="Q46" s="14">
        <v>4273.2</v>
      </c>
      <c r="R46" s="14">
        <v>13.6089171974522</v>
      </c>
      <c r="S46" s="10">
        <f t="shared" si="0"/>
        <v>-6.9700930000000003</v>
      </c>
    </row>
    <row r="47" spans="1:39" ht="14.7" customHeight="1" x14ac:dyDescent="0.3">
      <c r="B47" s="18" t="s">
        <v>92</v>
      </c>
      <c r="C47" s="19">
        <v>283</v>
      </c>
      <c r="D47" s="19">
        <v>263</v>
      </c>
      <c r="E47" s="19">
        <v>263</v>
      </c>
      <c r="F47" s="20">
        <v>1</v>
      </c>
      <c r="G47" s="19">
        <v>5371.2</v>
      </c>
      <c r="H47" s="19">
        <v>20.422813000000001</v>
      </c>
      <c r="I47" s="19">
        <v>30</v>
      </c>
      <c r="J47" s="19">
        <v>265</v>
      </c>
      <c r="K47" s="19">
        <v>265</v>
      </c>
      <c r="L47" s="20">
        <v>1</v>
      </c>
      <c r="M47" s="19">
        <v>4593.6000000000004</v>
      </c>
      <c r="N47" s="19">
        <v>17.334339622641501</v>
      </c>
      <c r="O47" s="19">
        <v>265</v>
      </c>
      <c r="P47" s="20">
        <v>1</v>
      </c>
      <c r="Q47" s="19">
        <v>3535.2</v>
      </c>
      <c r="R47" s="19">
        <v>13.340377358490599</v>
      </c>
      <c r="S47" s="21">
        <f t="shared" si="0"/>
        <v>9.5771869999999986</v>
      </c>
    </row>
    <row r="48" spans="1:39" ht="14.7" customHeight="1" x14ac:dyDescent="0.3">
      <c r="B48" s="18" t="s">
        <v>93</v>
      </c>
      <c r="C48" s="19">
        <v>450</v>
      </c>
      <c r="D48" s="19">
        <v>415</v>
      </c>
      <c r="E48" s="19">
        <v>415</v>
      </c>
      <c r="F48" s="20">
        <v>1</v>
      </c>
      <c r="G48" s="19">
        <v>9165.6</v>
      </c>
      <c r="H48" s="19">
        <v>22.085782999999999</v>
      </c>
      <c r="I48" s="19">
        <v>30</v>
      </c>
      <c r="J48" s="19">
        <v>415</v>
      </c>
      <c r="K48" s="19">
        <v>410</v>
      </c>
      <c r="L48" s="20">
        <v>0.98795180722891596</v>
      </c>
      <c r="M48" s="19">
        <v>6820.2</v>
      </c>
      <c r="N48" s="19">
        <v>16.634634146341501</v>
      </c>
      <c r="O48" s="19">
        <v>415</v>
      </c>
      <c r="P48" s="20">
        <v>1</v>
      </c>
      <c r="Q48" s="19">
        <v>6075</v>
      </c>
      <c r="R48" s="19">
        <v>14.638554216867499</v>
      </c>
      <c r="S48" s="21">
        <f t="shared" si="0"/>
        <v>7.9142170000000007</v>
      </c>
    </row>
    <row r="49" spans="1:39" ht="14.7" customHeight="1" x14ac:dyDescent="0.3">
      <c r="B49" s="7" t="s">
        <v>74</v>
      </c>
      <c r="C49" s="14">
        <v>218</v>
      </c>
      <c r="D49" s="14">
        <v>169</v>
      </c>
      <c r="E49" s="14">
        <v>119</v>
      </c>
      <c r="F49" s="17">
        <v>0.70414201183432001</v>
      </c>
      <c r="G49" s="14">
        <v>802.8</v>
      </c>
      <c r="H49" s="14">
        <v>6.7462179999999998</v>
      </c>
      <c r="I49" s="14">
        <v>0</v>
      </c>
      <c r="J49" s="14">
        <v>169</v>
      </c>
      <c r="K49" s="14">
        <v>155</v>
      </c>
      <c r="L49" s="17">
        <v>0.91715976331360904</v>
      </c>
      <c r="M49" s="14">
        <v>1978.2</v>
      </c>
      <c r="N49" s="14">
        <v>12.7625806451613</v>
      </c>
      <c r="O49" s="14">
        <v>168</v>
      </c>
      <c r="P49" s="17">
        <v>1</v>
      </c>
      <c r="Q49" s="14">
        <v>2202.6</v>
      </c>
      <c r="R49" s="14">
        <v>13.1107142857143</v>
      </c>
      <c r="S49" s="10">
        <f t="shared" si="0"/>
        <v>-6.7462179999999998</v>
      </c>
    </row>
    <row r="50" spans="1:39" ht="14.7" customHeight="1" x14ac:dyDescent="0.3">
      <c r="B50" s="7" t="s">
        <v>99</v>
      </c>
      <c r="C50" s="14">
        <v>76</v>
      </c>
      <c r="D50" s="14">
        <v>69</v>
      </c>
      <c r="E50" s="14">
        <v>69</v>
      </c>
      <c r="F50" s="17">
        <v>1</v>
      </c>
      <c r="G50" s="14">
        <v>867.6</v>
      </c>
      <c r="H50" s="14">
        <v>12.573912999999999</v>
      </c>
      <c r="I50" s="14">
        <v>18</v>
      </c>
      <c r="J50" s="14">
        <v>69</v>
      </c>
      <c r="K50" s="14">
        <v>67</v>
      </c>
      <c r="L50" s="17">
        <v>0.97101449275362295</v>
      </c>
      <c r="M50" s="14">
        <v>1124.4000000000001</v>
      </c>
      <c r="N50" s="14">
        <v>16.782089552238801</v>
      </c>
      <c r="O50" s="14">
        <v>69</v>
      </c>
      <c r="P50" s="17">
        <v>1</v>
      </c>
      <c r="Q50" s="14">
        <v>1022.4</v>
      </c>
      <c r="R50" s="14">
        <v>14.817391304347799</v>
      </c>
      <c r="S50" s="10">
        <f t="shared" si="0"/>
        <v>5.4260870000000008</v>
      </c>
    </row>
    <row r="51" spans="1:39" ht="14.7" customHeight="1" x14ac:dyDescent="0.3">
      <c r="A51" s="24"/>
      <c r="B51" s="7" t="s">
        <v>86</v>
      </c>
      <c r="C51" s="14">
        <v>1161</v>
      </c>
      <c r="D51" s="14">
        <v>954</v>
      </c>
      <c r="E51" s="14">
        <v>541</v>
      </c>
      <c r="F51" s="17">
        <v>0.56708595387840699</v>
      </c>
      <c r="G51" s="14">
        <v>2823</v>
      </c>
      <c r="H51" s="14">
        <v>5.2181139999999999</v>
      </c>
      <c r="I51" s="14">
        <v>0</v>
      </c>
      <c r="J51" s="14">
        <v>955</v>
      </c>
      <c r="K51" s="14">
        <v>579</v>
      </c>
      <c r="L51" s="17">
        <v>0.60628272251308901</v>
      </c>
      <c r="M51" s="14">
        <v>4368.6000000000004</v>
      </c>
      <c r="N51" s="14">
        <v>7.5450777202072503</v>
      </c>
      <c r="O51" s="14">
        <v>793</v>
      </c>
      <c r="P51" s="17">
        <v>0.99373433583959903</v>
      </c>
      <c r="Q51" s="14">
        <v>8432.4</v>
      </c>
      <c r="R51" s="14">
        <v>10.6335435056747</v>
      </c>
      <c r="S51" s="23">
        <f t="shared" si="0"/>
        <v>-5.2181139999999999</v>
      </c>
    </row>
    <row r="52" spans="1:39" ht="14.7" customHeight="1" x14ac:dyDescent="0.3">
      <c r="A52" s="24"/>
      <c r="B52" s="7" t="s">
        <v>111</v>
      </c>
      <c r="C52" s="14">
        <v>400</v>
      </c>
      <c r="D52" s="14">
        <v>326</v>
      </c>
      <c r="E52" s="14">
        <v>289</v>
      </c>
      <c r="F52" s="17">
        <v>0.88650306748466301</v>
      </c>
      <c r="G52" s="14">
        <v>2266.8000000000002</v>
      </c>
      <c r="H52" s="14">
        <v>7.8435980000000001</v>
      </c>
      <c r="I52" s="14">
        <v>6</v>
      </c>
      <c r="J52" s="14">
        <v>328</v>
      </c>
      <c r="K52" s="14">
        <v>266</v>
      </c>
      <c r="L52" s="17">
        <v>0.81097560975609795</v>
      </c>
      <c r="M52" s="14">
        <v>2748.6</v>
      </c>
      <c r="N52" s="14">
        <v>10.3330827067669</v>
      </c>
      <c r="O52" s="14">
        <v>275</v>
      </c>
      <c r="P52" s="17">
        <v>0.99277978339350204</v>
      </c>
      <c r="Q52" s="14">
        <v>3104.4</v>
      </c>
      <c r="R52" s="14">
        <v>11.2887272727273</v>
      </c>
      <c r="S52" s="23">
        <f t="shared" si="0"/>
        <v>-1.8435980000000001</v>
      </c>
    </row>
    <row r="53" spans="1:39" ht="14.7" customHeight="1" x14ac:dyDescent="0.3">
      <c r="A53" s="24"/>
      <c r="B53" s="7" t="s">
        <v>82</v>
      </c>
      <c r="C53" s="14">
        <v>426</v>
      </c>
      <c r="D53" s="14">
        <v>388</v>
      </c>
      <c r="E53" s="14">
        <v>352</v>
      </c>
      <c r="F53" s="17">
        <v>0.90721649484536104</v>
      </c>
      <c r="G53" s="14">
        <v>2151</v>
      </c>
      <c r="H53" s="14">
        <v>6.1107950000000004</v>
      </c>
      <c r="I53" s="14">
        <v>6</v>
      </c>
      <c r="J53" s="14">
        <v>389</v>
      </c>
      <c r="K53" s="14">
        <v>380</v>
      </c>
      <c r="L53" s="17">
        <v>0.97686375321336805</v>
      </c>
      <c r="M53" s="14">
        <v>4797.6000000000004</v>
      </c>
      <c r="N53" s="14">
        <v>12.6252631578947</v>
      </c>
      <c r="O53" s="14">
        <v>365</v>
      </c>
      <c r="P53" s="17">
        <v>1</v>
      </c>
      <c r="Q53" s="14">
        <v>4652.3999999999996</v>
      </c>
      <c r="R53" s="14">
        <v>12.746301369863</v>
      </c>
      <c r="S53" s="23">
        <f t="shared" si="0"/>
        <v>-0.11079500000000042</v>
      </c>
      <c r="V53" s="12" t="s">
        <v>8</v>
      </c>
      <c r="W53" s="70" t="s">
        <v>67</v>
      </c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2"/>
    </row>
    <row r="54" spans="1:39" ht="14.7" customHeight="1" x14ac:dyDescent="0.3">
      <c r="B54" s="7" t="s">
        <v>104</v>
      </c>
      <c r="C54" s="14">
        <v>242</v>
      </c>
      <c r="D54" s="14">
        <v>230</v>
      </c>
      <c r="E54" s="14">
        <v>230</v>
      </c>
      <c r="F54" s="17">
        <v>1</v>
      </c>
      <c r="G54" s="14">
        <v>5098.2</v>
      </c>
      <c r="H54" s="14">
        <v>22.166086</v>
      </c>
      <c r="I54" s="14">
        <v>30</v>
      </c>
      <c r="J54" s="14">
        <v>232</v>
      </c>
      <c r="K54" s="14">
        <v>232</v>
      </c>
      <c r="L54" s="17">
        <v>1</v>
      </c>
      <c r="M54" s="14">
        <v>3298.8</v>
      </c>
      <c r="N54" s="14">
        <v>14.218965517241401</v>
      </c>
      <c r="O54" s="14">
        <v>228</v>
      </c>
      <c r="P54" s="17">
        <v>0.99563318777292598</v>
      </c>
      <c r="Q54" s="14">
        <v>2644.8</v>
      </c>
      <c r="R54" s="14">
        <v>11.6</v>
      </c>
      <c r="S54" s="10">
        <f t="shared" si="0"/>
        <v>7.833914</v>
      </c>
      <c r="V54" s="1"/>
      <c r="W54" s="1"/>
      <c r="X54" s="65" t="s">
        <v>73</v>
      </c>
      <c r="Y54" s="66"/>
      <c r="Z54" s="66"/>
      <c r="AA54" s="66"/>
      <c r="AB54" s="67"/>
      <c r="AC54" s="65" t="s">
        <v>153</v>
      </c>
      <c r="AD54" s="67"/>
      <c r="AE54" s="65" t="s">
        <v>1</v>
      </c>
      <c r="AF54" s="66"/>
      <c r="AG54" s="66"/>
      <c r="AH54" s="66"/>
      <c r="AI54" s="67"/>
      <c r="AJ54" s="65" t="s">
        <v>156</v>
      </c>
      <c r="AK54" s="66"/>
      <c r="AL54" s="66"/>
      <c r="AM54" s="67"/>
    </row>
    <row r="55" spans="1:39" ht="14.7" customHeight="1" x14ac:dyDescent="0.3">
      <c r="B55" s="7" t="s">
        <v>94</v>
      </c>
      <c r="C55" s="14">
        <v>615</v>
      </c>
      <c r="D55" s="14">
        <v>568</v>
      </c>
      <c r="E55" s="14">
        <v>568</v>
      </c>
      <c r="F55" s="17">
        <v>1</v>
      </c>
      <c r="G55" s="14">
        <v>12842.4</v>
      </c>
      <c r="H55" s="14">
        <v>22.609859</v>
      </c>
      <c r="I55" s="14">
        <v>30</v>
      </c>
      <c r="J55" s="14">
        <v>570</v>
      </c>
      <c r="K55" s="14">
        <v>541</v>
      </c>
      <c r="L55" s="17">
        <v>0.94912280701754403</v>
      </c>
      <c r="M55" s="14">
        <v>7018.8</v>
      </c>
      <c r="N55" s="14">
        <v>12.973752310536</v>
      </c>
      <c r="O55" s="14">
        <v>536</v>
      </c>
      <c r="P55" s="17">
        <v>0.99813780260707596</v>
      </c>
      <c r="Q55" s="14">
        <v>6265.2</v>
      </c>
      <c r="R55" s="14">
        <v>11.6888059701493</v>
      </c>
      <c r="S55" s="10">
        <f t="shared" si="0"/>
        <v>7.3901409999999998</v>
      </c>
      <c r="V55" s="1" t="s">
        <v>68</v>
      </c>
      <c r="W55" s="1" t="s">
        <v>5</v>
      </c>
      <c r="X55" s="4" t="s">
        <v>2</v>
      </c>
      <c r="Y55" s="4" t="s">
        <v>0</v>
      </c>
      <c r="Z55" s="5" t="s">
        <v>3</v>
      </c>
      <c r="AA55" s="5" t="s">
        <v>4</v>
      </c>
      <c r="AB55" s="6" t="s">
        <v>6</v>
      </c>
      <c r="AC55" s="6" t="s">
        <v>154</v>
      </c>
      <c r="AD55" s="6" t="s">
        <v>154</v>
      </c>
      <c r="AE55" s="4" t="s">
        <v>2</v>
      </c>
      <c r="AF55" s="4" t="s">
        <v>0</v>
      </c>
      <c r="AG55" s="5" t="s">
        <v>3</v>
      </c>
      <c r="AH55" s="5" t="s">
        <v>4</v>
      </c>
      <c r="AI55" s="6" t="s">
        <v>7</v>
      </c>
      <c r="AJ55" s="4" t="s">
        <v>0</v>
      </c>
      <c r="AK55" s="5" t="s">
        <v>3</v>
      </c>
      <c r="AL55" s="5" t="s">
        <v>4</v>
      </c>
      <c r="AM55" s="6" t="s">
        <v>7</v>
      </c>
    </row>
    <row r="56" spans="1:39" ht="14.7" customHeight="1" x14ac:dyDescent="0.3">
      <c r="B56" s="7" t="s">
        <v>115</v>
      </c>
      <c r="C56" s="14">
        <v>109</v>
      </c>
      <c r="D56" s="14">
        <v>99</v>
      </c>
      <c r="E56" s="14">
        <v>99</v>
      </c>
      <c r="F56" s="17">
        <v>1</v>
      </c>
      <c r="G56" s="14">
        <v>1770.6</v>
      </c>
      <c r="H56" s="14">
        <v>17.884848000000002</v>
      </c>
      <c r="I56" s="14">
        <v>24</v>
      </c>
      <c r="J56" s="14">
        <v>100</v>
      </c>
      <c r="K56" s="14">
        <v>94</v>
      </c>
      <c r="L56" s="17">
        <v>0.94</v>
      </c>
      <c r="M56" s="14">
        <v>1219.8</v>
      </c>
      <c r="N56" s="14">
        <v>12.9765957446809</v>
      </c>
      <c r="O56" s="14">
        <v>93</v>
      </c>
      <c r="P56" s="17">
        <v>1</v>
      </c>
      <c r="Q56" s="14">
        <v>1207.2</v>
      </c>
      <c r="R56" s="14">
        <v>12.980645161290299</v>
      </c>
      <c r="S56" s="10">
        <f t="shared" si="0"/>
        <v>6.1151519999999984</v>
      </c>
      <c r="V56" s="1" t="s">
        <v>150</v>
      </c>
      <c r="W56" s="2">
        <v>37</v>
      </c>
      <c r="X56" s="2">
        <v>37</v>
      </c>
      <c r="Y56" s="2">
        <v>36</v>
      </c>
      <c r="Z56" s="3">
        <v>0.97297297297297303</v>
      </c>
      <c r="AA56" s="2">
        <v>712.2</v>
      </c>
      <c r="AB56" s="2">
        <v>19.783332999999999</v>
      </c>
      <c r="AC56" s="2">
        <v>26</v>
      </c>
      <c r="AD56" s="2">
        <v>24.350858369098713</v>
      </c>
      <c r="AE56" s="2">
        <v>37</v>
      </c>
      <c r="AF56" s="2">
        <v>36</v>
      </c>
      <c r="AG56" s="3">
        <v>0.97297297297297303</v>
      </c>
      <c r="AH56" s="2">
        <v>808.8</v>
      </c>
      <c r="AI56" s="2">
        <v>22.466666666666701</v>
      </c>
      <c r="AJ56" s="2">
        <v>36</v>
      </c>
      <c r="AK56" s="3">
        <v>1</v>
      </c>
      <c r="AL56" s="2">
        <v>743.4</v>
      </c>
      <c r="AM56" s="2">
        <v>20.65</v>
      </c>
    </row>
    <row r="57" spans="1:39" ht="14.7" customHeight="1" x14ac:dyDescent="0.3">
      <c r="B57" s="7" t="s">
        <v>95</v>
      </c>
      <c r="C57" s="14">
        <v>267</v>
      </c>
      <c r="D57" s="14">
        <v>239</v>
      </c>
      <c r="E57" s="14">
        <v>237</v>
      </c>
      <c r="F57" s="17">
        <v>0.99163179916318001</v>
      </c>
      <c r="G57" s="14">
        <v>2223</v>
      </c>
      <c r="H57" s="14">
        <v>9.3797460000000008</v>
      </c>
      <c r="I57" s="14">
        <v>12</v>
      </c>
      <c r="J57" s="14">
        <v>240</v>
      </c>
      <c r="K57" s="14">
        <v>204</v>
      </c>
      <c r="L57" s="17">
        <v>0.85</v>
      </c>
      <c r="M57" s="14">
        <v>1920.6</v>
      </c>
      <c r="N57" s="14">
        <v>9.4147058823529406</v>
      </c>
      <c r="O57" s="14">
        <v>133</v>
      </c>
      <c r="P57" s="17">
        <v>0.97080291970802901</v>
      </c>
      <c r="Q57" s="14">
        <v>1189.8</v>
      </c>
      <c r="R57" s="14">
        <v>8.9458646616541397</v>
      </c>
      <c r="S57" s="10">
        <f t="shared" si="0"/>
        <v>2.6202539999999992</v>
      </c>
      <c r="V57" s="1" t="s">
        <v>157</v>
      </c>
      <c r="W57" s="2">
        <v>40</v>
      </c>
      <c r="X57" s="2">
        <v>39</v>
      </c>
      <c r="Y57" s="2">
        <v>38</v>
      </c>
      <c r="Z57" s="3">
        <v>0.97435897435897401</v>
      </c>
      <c r="AA57" s="2">
        <v>682.2</v>
      </c>
      <c r="AB57" s="2">
        <v>17.952631</v>
      </c>
      <c r="AC57" s="2">
        <v>28</v>
      </c>
      <c r="AD57" s="2">
        <v>24.340253748558247</v>
      </c>
      <c r="AE57" s="2">
        <v>38</v>
      </c>
      <c r="AF57" s="2">
        <v>38</v>
      </c>
      <c r="AG57" s="3">
        <v>1</v>
      </c>
      <c r="AH57" s="2">
        <v>1050</v>
      </c>
      <c r="AI57" s="2">
        <v>27.6315789473684</v>
      </c>
      <c r="AJ57" s="2">
        <v>38</v>
      </c>
      <c r="AK57" s="3">
        <v>1</v>
      </c>
      <c r="AL57" s="2">
        <v>897.6</v>
      </c>
      <c r="AM57" s="2">
        <v>23.621052631578898</v>
      </c>
    </row>
    <row r="58" spans="1:39" ht="14.7" customHeight="1" x14ac:dyDescent="0.3">
      <c r="B58" s="7" t="s">
        <v>81</v>
      </c>
      <c r="C58" s="14">
        <v>3104</v>
      </c>
      <c r="D58" s="14">
        <v>2581</v>
      </c>
      <c r="E58" s="14">
        <v>832</v>
      </c>
      <c r="F58" s="17">
        <v>0.32235567609453702</v>
      </c>
      <c r="G58" s="14">
        <v>3567.6</v>
      </c>
      <c r="H58" s="14">
        <v>4.2879800000000001</v>
      </c>
      <c r="I58" s="14">
        <v>0</v>
      </c>
      <c r="J58" s="14">
        <v>2585</v>
      </c>
      <c r="K58" s="14">
        <v>993</v>
      </c>
      <c r="L58" s="17">
        <v>0.38413926499032902</v>
      </c>
      <c r="M58" s="14">
        <v>5748.6</v>
      </c>
      <c r="N58" s="14">
        <v>5.78912386706949</v>
      </c>
      <c r="O58" s="14">
        <v>738</v>
      </c>
      <c r="P58" s="17">
        <v>0.96470588235294097</v>
      </c>
      <c r="Q58" s="14">
        <v>4859.3999999999896</v>
      </c>
      <c r="R58" s="14">
        <v>6.5845528455284503</v>
      </c>
      <c r="S58" s="10">
        <f t="shared" si="0"/>
        <v>-4.2879800000000001</v>
      </c>
      <c r="V58" s="1" t="s">
        <v>158</v>
      </c>
      <c r="W58" s="2">
        <v>29</v>
      </c>
      <c r="X58" s="2">
        <v>28</v>
      </c>
      <c r="Y58" s="2">
        <v>28</v>
      </c>
      <c r="Z58" s="3">
        <v>1</v>
      </c>
      <c r="AA58" s="2">
        <v>443.4</v>
      </c>
      <c r="AB58" s="2">
        <v>15.835713999999999</v>
      </c>
      <c r="AC58" s="2">
        <v>23</v>
      </c>
      <c r="AD58" s="2">
        <v>14.934288121314237</v>
      </c>
      <c r="AE58" s="2">
        <v>28</v>
      </c>
      <c r="AF58" s="2">
        <v>26</v>
      </c>
      <c r="AG58" s="3">
        <v>0.92857142857142905</v>
      </c>
      <c r="AH58" s="2">
        <v>363</v>
      </c>
      <c r="AI58" s="2">
        <v>13.961538461538501</v>
      </c>
      <c r="AJ58" s="2">
        <v>28</v>
      </c>
      <c r="AK58" s="3">
        <v>1</v>
      </c>
      <c r="AL58" s="2">
        <v>373.8</v>
      </c>
      <c r="AM58" s="2">
        <v>13.35</v>
      </c>
    </row>
    <row r="59" spans="1:39" ht="14.7" customHeight="1" x14ac:dyDescent="0.3">
      <c r="B59" s="7" t="s">
        <v>103</v>
      </c>
      <c r="C59" s="14">
        <v>277</v>
      </c>
      <c r="D59" s="14">
        <v>249</v>
      </c>
      <c r="E59" s="14">
        <v>124</v>
      </c>
      <c r="F59" s="17">
        <v>0.49799196787148597</v>
      </c>
      <c r="G59" s="14">
        <v>523.20000000000005</v>
      </c>
      <c r="H59" s="14">
        <v>4.219354</v>
      </c>
      <c r="I59" s="14">
        <v>0</v>
      </c>
      <c r="J59" s="14">
        <v>248</v>
      </c>
      <c r="K59" s="14">
        <v>222</v>
      </c>
      <c r="L59" s="17">
        <v>0.89516129032258096</v>
      </c>
      <c r="M59" s="14">
        <v>2167.8000000000002</v>
      </c>
      <c r="N59" s="14">
        <v>9.7648648648648706</v>
      </c>
      <c r="O59" s="14">
        <v>145</v>
      </c>
      <c r="P59" s="17">
        <v>0.97315436241610698</v>
      </c>
      <c r="Q59" s="14">
        <v>1411.8</v>
      </c>
      <c r="R59" s="14">
        <v>9.7365517241379305</v>
      </c>
      <c r="S59" s="10">
        <f t="shared" si="0"/>
        <v>-4.219354</v>
      </c>
    </row>
    <row r="60" spans="1:39" ht="14.7" customHeight="1" x14ac:dyDescent="0.3">
      <c r="B60" s="7" t="s">
        <v>84</v>
      </c>
      <c r="C60" s="14">
        <v>801</v>
      </c>
      <c r="D60" s="14">
        <v>700</v>
      </c>
      <c r="E60" s="14">
        <v>283</v>
      </c>
      <c r="F60" s="17">
        <v>0.40428571428571403</v>
      </c>
      <c r="G60" s="14">
        <v>1186.2</v>
      </c>
      <c r="H60" s="14">
        <v>4.1915190000000004</v>
      </c>
      <c r="I60" s="14">
        <v>0</v>
      </c>
      <c r="J60" s="14">
        <v>701</v>
      </c>
      <c r="K60" s="14">
        <v>497</v>
      </c>
      <c r="L60" s="17">
        <v>0.70898716119828797</v>
      </c>
      <c r="M60" s="14">
        <v>3732.6</v>
      </c>
      <c r="N60" s="14">
        <v>7.5102615694164996</v>
      </c>
      <c r="O60" s="14">
        <v>264</v>
      </c>
      <c r="P60" s="17">
        <v>0.96</v>
      </c>
      <c r="Q60" s="14">
        <v>1931.4</v>
      </c>
      <c r="R60" s="14">
        <v>7.3159090909090896</v>
      </c>
      <c r="S60" s="10">
        <f t="shared" si="0"/>
        <v>-4.1915190000000004</v>
      </c>
    </row>
    <row r="61" spans="1:39" ht="14.7" customHeight="1" x14ac:dyDescent="0.3">
      <c r="B61" s="7" t="s">
        <v>96</v>
      </c>
      <c r="C61" s="14">
        <v>185</v>
      </c>
      <c r="D61" s="14">
        <v>167</v>
      </c>
      <c r="E61" s="14">
        <v>167</v>
      </c>
      <c r="F61" s="17">
        <v>1</v>
      </c>
      <c r="G61" s="14">
        <v>2112.6</v>
      </c>
      <c r="H61" s="14">
        <v>12.650299</v>
      </c>
      <c r="I61" s="14">
        <v>18</v>
      </c>
      <c r="J61" s="14">
        <v>168</v>
      </c>
      <c r="K61" s="14">
        <v>166</v>
      </c>
      <c r="L61" s="17">
        <v>0.98809523809523803</v>
      </c>
      <c r="M61" s="14">
        <v>1842.6</v>
      </c>
      <c r="N61" s="14">
        <v>11.1</v>
      </c>
      <c r="O61" s="14">
        <v>151</v>
      </c>
      <c r="P61" s="17">
        <v>0.96178343949044598</v>
      </c>
      <c r="Q61" s="14">
        <v>867.6</v>
      </c>
      <c r="R61" s="14">
        <v>5.7456953642384097</v>
      </c>
      <c r="S61" s="10">
        <f t="shared" si="0"/>
        <v>5.3497009999999996</v>
      </c>
    </row>
    <row r="62" spans="1:39" ht="14.7" customHeight="1" x14ac:dyDescent="0.3">
      <c r="B62" s="7" t="s">
        <v>87</v>
      </c>
      <c r="C62" s="14">
        <v>537</v>
      </c>
      <c r="D62" s="14">
        <v>474</v>
      </c>
      <c r="E62" s="14">
        <v>474</v>
      </c>
      <c r="F62" s="17">
        <v>1</v>
      </c>
      <c r="G62" s="14">
        <v>6009</v>
      </c>
      <c r="H62" s="14">
        <v>12.677215</v>
      </c>
      <c r="I62" s="14">
        <v>18</v>
      </c>
      <c r="J62" s="14">
        <v>477</v>
      </c>
      <c r="K62" s="14">
        <v>430</v>
      </c>
      <c r="L62" s="17">
        <v>0.90146750524108998</v>
      </c>
      <c r="M62" s="14">
        <v>3922.2</v>
      </c>
      <c r="N62" s="14">
        <v>9.1213953488372095</v>
      </c>
      <c r="O62" s="14">
        <v>296</v>
      </c>
      <c r="P62" s="17">
        <v>0.98996655518394705</v>
      </c>
      <c r="Q62" s="14">
        <v>2197.8000000000002</v>
      </c>
      <c r="R62" s="14">
        <v>7.4249999999999998</v>
      </c>
      <c r="S62" s="10">
        <f t="shared" si="0"/>
        <v>5.3227849999999997</v>
      </c>
    </row>
    <row r="63" spans="1:39" ht="14.7" customHeight="1" x14ac:dyDescent="0.3">
      <c r="B63" s="7" t="s">
        <v>147</v>
      </c>
      <c r="C63" s="14">
        <v>4</v>
      </c>
      <c r="D63" s="14">
        <v>4</v>
      </c>
      <c r="E63" s="14">
        <v>0</v>
      </c>
      <c r="F63" s="17">
        <v>0</v>
      </c>
      <c r="G63" s="14">
        <v>0</v>
      </c>
      <c r="H63" s="14">
        <v>0</v>
      </c>
      <c r="I63" s="14">
        <v>0</v>
      </c>
      <c r="J63" s="14">
        <v>3</v>
      </c>
      <c r="K63" s="14">
        <v>0</v>
      </c>
      <c r="L63" s="17">
        <v>0</v>
      </c>
      <c r="M63" s="14">
        <v>0</v>
      </c>
      <c r="N63" s="14">
        <v>0</v>
      </c>
      <c r="O63" s="14">
        <v>0</v>
      </c>
      <c r="P63" s="17">
        <v>0</v>
      </c>
      <c r="Q63" s="14">
        <v>0</v>
      </c>
      <c r="R63" s="14">
        <v>0</v>
      </c>
      <c r="S63" s="10">
        <f t="shared" si="0"/>
        <v>0</v>
      </c>
    </row>
    <row r="64" spans="1:39" ht="14.7" customHeight="1" x14ac:dyDescent="0.3">
      <c r="B64" s="7" t="s">
        <v>76</v>
      </c>
      <c r="C64" s="14">
        <v>85</v>
      </c>
      <c r="D64" s="14">
        <v>69</v>
      </c>
      <c r="E64" s="14">
        <v>69</v>
      </c>
      <c r="F64" s="17">
        <v>1</v>
      </c>
      <c r="G64" s="14">
        <v>789</v>
      </c>
      <c r="H64" s="14">
        <v>11.434782</v>
      </c>
      <c r="I64" s="14">
        <v>12</v>
      </c>
      <c r="J64" s="14">
        <v>74</v>
      </c>
      <c r="K64" s="14">
        <v>57</v>
      </c>
      <c r="L64" s="17">
        <v>0.77027027027026995</v>
      </c>
      <c r="M64" s="14">
        <v>364.2</v>
      </c>
      <c r="N64" s="14">
        <v>6.3894736842105297</v>
      </c>
      <c r="O64" s="14">
        <v>32</v>
      </c>
      <c r="P64" s="17">
        <v>0.96969696969696995</v>
      </c>
      <c r="Q64" s="14">
        <v>201</v>
      </c>
      <c r="R64" s="14">
        <v>6.28125</v>
      </c>
      <c r="S64" s="10">
        <f t="shared" si="0"/>
        <v>0.56521799999999978</v>
      </c>
    </row>
    <row r="65" spans="2:37" ht="14.7" customHeight="1" x14ac:dyDescent="0.3">
      <c r="B65" s="7" t="s">
        <v>88</v>
      </c>
      <c r="C65" s="14">
        <v>203</v>
      </c>
      <c r="D65" s="14">
        <v>177</v>
      </c>
      <c r="E65" s="14">
        <v>31</v>
      </c>
      <c r="F65" s="17">
        <v>0.17514124293785299</v>
      </c>
      <c r="G65" s="14">
        <v>91.2</v>
      </c>
      <c r="H65" s="14">
        <v>2.941935</v>
      </c>
      <c r="I65" s="14">
        <v>0</v>
      </c>
      <c r="J65" s="14">
        <v>179</v>
      </c>
      <c r="K65" s="14">
        <v>101</v>
      </c>
      <c r="L65" s="17">
        <v>0.56424581005586605</v>
      </c>
      <c r="M65" s="14">
        <v>599.4</v>
      </c>
      <c r="N65" s="14">
        <v>5.9346534653465399</v>
      </c>
      <c r="O65" s="14">
        <v>42</v>
      </c>
      <c r="P65" s="17">
        <v>0.97674418604651203</v>
      </c>
      <c r="Q65" s="14">
        <v>229.8</v>
      </c>
      <c r="R65" s="14">
        <v>5.4714285714285698</v>
      </c>
      <c r="S65" s="10">
        <f t="shared" si="0"/>
        <v>-2.941935</v>
      </c>
    </row>
    <row r="66" spans="2:37" x14ac:dyDescent="0.3">
      <c r="B66" s="7" t="s">
        <v>80</v>
      </c>
      <c r="C66" s="14">
        <v>7561</v>
      </c>
      <c r="D66" s="14">
        <v>6459</v>
      </c>
      <c r="E66" s="14">
        <v>473</v>
      </c>
      <c r="F66" s="17">
        <v>7.3231150332868894E-2</v>
      </c>
      <c r="G66" s="14">
        <v>2269.1999999999998</v>
      </c>
      <c r="H66" s="14">
        <v>4.7974629999999996</v>
      </c>
      <c r="I66" s="14">
        <v>0</v>
      </c>
      <c r="J66" s="14">
        <v>6497</v>
      </c>
      <c r="K66" s="14">
        <v>629</v>
      </c>
      <c r="L66" s="17">
        <v>9.6813914114206603E-2</v>
      </c>
      <c r="M66" s="14">
        <v>3355.8</v>
      </c>
      <c r="N66" s="14">
        <v>5.3351351351351299</v>
      </c>
      <c r="O66" s="14">
        <v>400</v>
      </c>
      <c r="P66" s="17">
        <v>0.934579439252336</v>
      </c>
      <c r="Q66" s="14">
        <v>2190.6</v>
      </c>
      <c r="R66" s="14">
        <v>5.4764999999999997</v>
      </c>
      <c r="S66" s="10">
        <f t="shared" si="0"/>
        <v>-4.7974629999999996</v>
      </c>
    </row>
    <row r="67" spans="2:37" x14ac:dyDescent="0.3">
      <c r="B67" s="7" t="s">
        <v>123</v>
      </c>
      <c r="C67" s="14">
        <v>70</v>
      </c>
      <c r="D67" s="14">
        <v>61</v>
      </c>
      <c r="E67" s="14">
        <v>56</v>
      </c>
      <c r="F67" s="17">
        <v>0.91803278688524603</v>
      </c>
      <c r="G67" s="14">
        <v>454.2</v>
      </c>
      <c r="H67" s="14">
        <v>8.1107139999999998</v>
      </c>
      <c r="I67" s="14">
        <v>6</v>
      </c>
      <c r="J67" s="14">
        <v>62</v>
      </c>
      <c r="K67" s="14">
        <v>47</v>
      </c>
      <c r="L67" s="17">
        <v>0.75806451612903203</v>
      </c>
      <c r="M67" s="14">
        <v>292.8</v>
      </c>
      <c r="N67" s="14">
        <v>6.2297872340425497</v>
      </c>
      <c r="O67" s="14">
        <v>28</v>
      </c>
      <c r="P67" s="17">
        <v>1</v>
      </c>
      <c r="Q67" s="14">
        <v>164.4</v>
      </c>
      <c r="R67" s="14">
        <v>5.8714285714285701</v>
      </c>
      <c r="S67" s="10">
        <f t="shared" si="0"/>
        <v>-2.1107139999999998</v>
      </c>
    </row>
    <row r="68" spans="2:37" x14ac:dyDescent="0.3">
      <c r="B68" s="7" t="s">
        <v>114</v>
      </c>
      <c r="C68" s="14">
        <v>33</v>
      </c>
      <c r="D68" s="14">
        <v>24</v>
      </c>
      <c r="E68" s="14">
        <v>22</v>
      </c>
      <c r="F68" s="17">
        <v>0.91666666666666696</v>
      </c>
      <c r="G68" s="14">
        <v>126.6</v>
      </c>
      <c r="H68" s="14">
        <v>5.7545450000000002</v>
      </c>
      <c r="I68" s="14">
        <v>6</v>
      </c>
      <c r="J68" s="14">
        <v>25</v>
      </c>
      <c r="K68" s="14">
        <v>22</v>
      </c>
      <c r="L68" s="17">
        <v>0.88</v>
      </c>
      <c r="M68" s="14">
        <v>182.4</v>
      </c>
      <c r="N68" s="14">
        <v>8.2909090909090892</v>
      </c>
      <c r="O68" s="14">
        <v>14</v>
      </c>
      <c r="P68" s="17">
        <v>1</v>
      </c>
      <c r="Q68" s="14">
        <v>48</v>
      </c>
      <c r="R68" s="14">
        <v>3.4285714285714302</v>
      </c>
      <c r="S68" s="10">
        <f t="shared" si="0"/>
        <v>0.24545499999999976</v>
      </c>
    </row>
    <row r="69" spans="2:37" x14ac:dyDescent="0.3">
      <c r="B69" s="7" t="s">
        <v>133</v>
      </c>
      <c r="C69" s="14">
        <v>26</v>
      </c>
      <c r="D69" s="14">
        <v>17</v>
      </c>
      <c r="E69" s="14">
        <v>2</v>
      </c>
      <c r="F69" s="17">
        <v>0.11764705882352899</v>
      </c>
      <c r="G69" s="14">
        <v>8.4</v>
      </c>
      <c r="H69" s="14">
        <v>4.2</v>
      </c>
      <c r="I69" s="14">
        <v>0</v>
      </c>
      <c r="J69" s="14">
        <v>17</v>
      </c>
      <c r="K69" s="14">
        <v>13</v>
      </c>
      <c r="L69" s="17">
        <v>0.76470588235294101</v>
      </c>
      <c r="M69" s="14">
        <v>90.6</v>
      </c>
      <c r="N69" s="14">
        <v>6.9692307692307702</v>
      </c>
      <c r="O69" s="14">
        <v>5</v>
      </c>
      <c r="P69" s="17">
        <v>1</v>
      </c>
      <c r="Q69" s="14">
        <v>32.4</v>
      </c>
      <c r="R69" s="14">
        <v>6.48</v>
      </c>
      <c r="S69" s="10">
        <f t="shared" si="0"/>
        <v>-4.2</v>
      </c>
    </row>
    <row r="70" spans="2:37" x14ac:dyDescent="0.3">
      <c r="B70" s="7" t="s">
        <v>132</v>
      </c>
      <c r="C70" s="14">
        <v>192</v>
      </c>
      <c r="D70" s="14">
        <v>169</v>
      </c>
      <c r="E70" s="14">
        <v>3</v>
      </c>
      <c r="F70" s="17">
        <v>1.7751479289940801E-2</v>
      </c>
      <c r="G70" s="14">
        <v>36</v>
      </c>
      <c r="H70" s="14">
        <v>12</v>
      </c>
      <c r="I70" s="14">
        <v>0</v>
      </c>
      <c r="J70" s="14">
        <v>167</v>
      </c>
      <c r="K70" s="14">
        <v>3</v>
      </c>
      <c r="L70" s="17">
        <v>1.79640718562874E-2</v>
      </c>
      <c r="M70" s="14">
        <v>36</v>
      </c>
      <c r="N70" s="14">
        <v>12</v>
      </c>
      <c r="O70" s="14">
        <v>3</v>
      </c>
      <c r="P70" s="17">
        <v>1</v>
      </c>
      <c r="Q70" s="14">
        <v>36</v>
      </c>
      <c r="R70" s="14">
        <v>12</v>
      </c>
      <c r="S70" s="10">
        <f t="shared" ref="S70:S79" si="1">IFERROR((I70+0),0)-IFERROR((H70+0),0)</f>
        <v>-12</v>
      </c>
    </row>
    <row r="71" spans="2:37" x14ac:dyDescent="0.3">
      <c r="B71" s="7" t="s">
        <v>134</v>
      </c>
      <c r="C71" s="14">
        <v>913</v>
      </c>
      <c r="D71" s="14">
        <v>722</v>
      </c>
      <c r="E71" s="14">
        <v>1</v>
      </c>
      <c r="F71" s="17">
        <v>1.38504155124654E-3</v>
      </c>
      <c r="G71" s="14">
        <v>12</v>
      </c>
      <c r="H71" s="14">
        <v>12</v>
      </c>
      <c r="I71" s="14">
        <v>0</v>
      </c>
      <c r="J71" s="14">
        <v>729</v>
      </c>
      <c r="K71" s="14">
        <v>1</v>
      </c>
      <c r="L71" s="17">
        <v>1.3717421124828501E-3</v>
      </c>
      <c r="M71" s="14">
        <v>12</v>
      </c>
      <c r="N71" s="14">
        <v>12</v>
      </c>
      <c r="O71" s="14">
        <v>1</v>
      </c>
      <c r="P71" s="17">
        <v>1</v>
      </c>
      <c r="Q71" s="14">
        <v>12</v>
      </c>
      <c r="R71" s="14">
        <v>12</v>
      </c>
      <c r="S71" s="10">
        <f t="shared" si="1"/>
        <v>-12</v>
      </c>
    </row>
    <row r="72" spans="2:37" x14ac:dyDescent="0.3">
      <c r="B72" s="7" t="s">
        <v>125</v>
      </c>
      <c r="C72" s="14">
        <v>600</v>
      </c>
      <c r="D72" s="14">
        <v>470</v>
      </c>
      <c r="E72" s="14">
        <v>0</v>
      </c>
      <c r="F72" s="17">
        <v>0</v>
      </c>
      <c r="G72" s="14">
        <v>0</v>
      </c>
      <c r="H72" s="14">
        <v>0</v>
      </c>
      <c r="I72" s="14">
        <v>0</v>
      </c>
      <c r="J72" s="14">
        <v>484</v>
      </c>
      <c r="K72" s="14">
        <v>3</v>
      </c>
      <c r="L72" s="17">
        <v>6.1983471074380202E-3</v>
      </c>
      <c r="M72" s="14">
        <v>7.2</v>
      </c>
      <c r="N72" s="14">
        <v>2.4</v>
      </c>
      <c r="O72" s="14">
        <v>0</v>
      </c>
      <c r="P72" s="17">
        <v>0</v>
      </c>
      <c r="Q72" s="14">
        <v>0</v>
      </c>
      <c r="R72" s="14">
        <v>0</v>
      </c>
      <c r="S72" s="10">
        <f t="shared" si="1"/>
        <v>0</v>
      </c>
    </row>
    <row r="73" spans="2:37" x14ac:dyDescent="0.3">
      <c r="B73" s="7" t="s">
        <v>146</v>
      </c>
      <c r="C73" s="14">
        <v>1</v>
      </c>
      <c r="D73" s="14">
        <v>1</v>
      </c>
      <c r="E73" s="14">
        <v>0</v>
      </c>
      <c r="F73" s="17">
        <v>0</v>
      </c>
      <c r="G73" s="14">
        <v>0</v>
      </c>
      <c r="H73" s="14">
        <v>0</v>
      </c>
      <c r="I73" s="14">
        <v>0</v>
      </c>
      <c r="J73" s="14">
        <v>1</v>
      </c>
      <c r="K73" s="14">
        <v>0</v>
      </c>
      <c r="L73" s="17">
        <v>0</v>
      </c>
      <c r="M73" s="14">
        <v>0</v>
      </c>
      <c r="N73" s="14">
        <v>0</v>
      </c>
      <c r="O73" s="14">
        <v>0</v>
      </c>
      <c r="P73" s="17">
        <v>0</v>
      </c>
      <c r="Q73" s="14">
        <v>0</v>
      </c>
      <c r="R73" s="14">
        <v>0</v>
      </c>
      <c r="S73" s="10">
        <f t="shared" si="1"/>
        <v>0</v>
      </c>
    </row>
    <row r="74" spans="2:37" x14ac:dyDescent="0.3">
      <c r="B74" s="7" t="s">
        <v>145</v>
      </c>
      <c r="C74" s="14">
        <v>2</v>
      </c>
      <c r="D74" s="14">
        <v>2</v>
      </c>
      <c r="E74" s="14">
        <v>0</v>
      </c>
      <c r="F74" s="17">
        <v>0</v>
      </c>
      <c r="G74" s="14">
        <v>0</v>
      </c>
      <c r="H74" s="14">
        <v>0</v>
      </c>
      <c r="I74" s="14">
        <v>0</v>
      </c>
      <c r="J74" s="14">
        <v>2</v>
      </c>
      <c r="K74" s="14">
        <v>0</v>
      </c>
      <c r="L74" s="17">
        <v>0</v>
      </c>
      <c r="M74" s="14">
        <v>0</v>
      </c>
      <c r="N74" s="14">
        <v>0</v>
      </c>
      <c r="O74" s="14">
        <v>0</v>
      </c>
      <c r="P74" s="17">
        <v>0</v>
      </c>
      <c r="Q74" s="14">
        <v>0</v>
      </c>
      <c r="R74" s="14">
        <v>0</v>
      </c>
      <c r="S74" s="10">
        <f t="shared" si="1"/>
        <v>0</v>
      </c>
    </row>
    <row r="75" spans="2:37" x14ac:dyDescent="0.3">
      <c r="B75" s="7" t="s">
        <v>91</v>
      </c>
      <c r="C75" s="14">
        <v>132</v>
      </c>
      <c r="D75" s="14">
        <v>101</v>
      </c>
      <c r="E75" s="14">
        <v>0</v>
      </c>
      <c r="F75" s="17">
        <v>0</v>
      </c>
      <c r="G75" s="14">
        <v>0</v>
      </c>
      <c r="H75" s="14">
        <v>0</v>
      </c>
      <c r="I75" s="14">
        <v>0</v>
      </c>
      <c r="J75" s="14">
        <v>101</v>
      </c>
      <c r="K75" s="14">
        <v>0</v>
      </c>
      <c r="L75" s="17">
        <v>0</v>
      </c>
      <c r="M75" s="14">
        <v>0</v>
      </c>
      <c r="N75" s="14">
        <v>0</v>
      </c>
      <c r="O75" s="14">
        <v>0</v>
      </c>
      <c r="P75" s="17">
        <v>0</v>
      </c>
      <c r="Q75" s="14">
        <v>0</v>
      </c>
      <c r="R75" s="14">
        <v>0</v>
      </c>
      <c r="S75" s="10">
        <f t="shared" si="1"/>
        <v>0</v>
      </c>
    </row>
    <row r="76" spans="2:37" x14ac:dyDescent="0.3">
      <c r="B76" s="7" t="s">
        <v>98</v>
      </c>
      <c r="C76" s="14">
        <v>773</v>
      </c>
      <c r="D76" s="14">
        <v>568</v>
      </c>
      <c r="E76" s="14">
        <v>0</v>
      </c>
      <c r="F76" s="17">
        <v>0</v>
      </c>
      <c r="G76" s="14">
        <v>0</v>
      </c>
      <c r="H76" s="14">
        <v>0</v>
      </c>
      <c r="I76" s="14">
        <v>0</v>
      </c>
      <c r="J76" s="14">
        <v>572</v>
      </c>
      <c r="K76" s="14">
        <v>0</v>
      </c>
      <c r="L76" s="17">
        <v>0</v>
      </c>
      <c r="M76" s="14">
        <v>0</v>
      </c>
      <c r="N76" s="14">
        <v>0</v>
      </c>
      <c r="O76" s="14">
        <v>0</v>
      </c>
      <c r="P76" s="17">
        <v>0</v>
      </c>
      <c r="Q76" s="14">
        <v>0</v>
      </c>
      <c r="R76" s="14">
        <v>0</v>
      </c>
      <c r="S76" s="10">
        <f t="shared" si="1"/>
        <v>0</v>
      </c>
    </row>
    <row r="77" spans="2:37" x14ac:dyDescent="0.3">
      <c r="B77" s="7" t="s">
        <v>144</v>
      </c>
      <c r="C77" s="14">
        <v>1</v>
      </c>
      <c r="D77" s="14">
        <v>1</v>
      </c>
      <c r="E77" s="14">
        <v>0</v>
      </c>
      <c r="F77" s="17">
        <v>0</v>
      </c>
      <c r="G77" s="14">
        <v>0</v>
      </c>
      <c r="H77" s="14">
        <v>0</v>
      </c>
      <c r="I77" s="14">
        <v>0</v>
      </c>
      <c r="J77" s="14">
        <v>1</v>
      </c>
      <c r="K77" s="14">
        <v>0</v>
      </c>
      <c r="L77" s="17">
        <v>0</v>
      </c>
      <c r="M77" s="14">
        <v>0</v>
      </c>
      <c r="N77" s="14">
        <v>0</v>
      </c>
      <c r="O77" s="14">
        <v>0</v>
      </c>
      <c r="P77" s="17">
        <v>0</v>
      </c>
      <c r="Q77" s="14">
        <v>0</v>
      </c>
      <c r="R77" s="14">
        <v>0</v>
      </c>
      <c r="S77" s="10">
        <f t="shared" si="1"/>
        <v>0</v>
      </c>
    </row>
    <row r="78" spans="2:37" x14ac:dyDescent="0.3">
      <c r="B78" s="7" t="s">
        <v>83</v>
      </c>
      <c r="C78" s="14">
        <v>1727</v>
      </c>
      <c r="D78" s="14">
        <v>1244</v>
      </c>
      <c r="E78" s="14">
        <v>0</v>
      </c>
      <c r="F78" s="17">
        <v>0</v>
      </c>
      <c r="G78" s="14">
        <v>0</v>
      </c>
      <c r="H78" s="14">
        <v>0</v>
      </c>
      <c r="I78" s="14">
        <v>0</v>
      </c>
      <c r="J78" s="14">
        <v>1248</v>
      </c>
      <c r="K78" s="14">
        <v>0</v>
      </c>
      <c r="L78" s="17">
        <v>0</v>
      </c>
      <c r="M78" s="14">
        <v>0</v>
      </c>
      <c r="N78" s="14">
        <v>0</v>
      </c>
      <c r="O78" s="14">
        <v>0</v>
      </c>
      <c r="P78" s="17">
        <v>0</v>
      </c>
      <c r="Q78" s="14">
        <v>0</v>
      </c>
      <c r="R78" s="14">
        <v>0</v>
      </c>
      <c r="S78" s="10">
        <f t="shared" si="1"/>
        <v>0</v>
      </c>
      <c r="V78" s="68" t="s">
        <v>72</v>
      </c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8"/>
    </row>
    <row r="79" spans="2:37" x14ac:dyDescent="0.3">
      <c r="B79" s="7" t="s">
        <v>120</v>
      </c>
      <c r="C79" s="14">
        <v>592</v>
      </c>
      <c r="D79" s="14">
        <v>452</v>
      </c>
      <c r="E79" s="14">
        <v>0</v>
      </c>
      <c r="F79" s="17">
        <v>0</v>
      </c>
      <c r="G79" s="14">
        <v>0</v>
      </c>
      <c r="H79" s="14">
        <v>0</v>
      </c>
      <c r="I79" s="14">
        <v>0</v>
      </c>
      <c r="J79" s="14">
        <v>453</v>
      </c>
      <c r="K79" s="14">
        <v>0</v>
      </c>
      <c r="L79" s="17">
        <v>0</v>
      </c>
      <c r="M79" s="14">
        <v>0</v>
      </c>
      <c r="N79" s="14">
        <v>0</v>
      </c>
      <c r="O79" s="14">
        <v>0</v>
      </c>
      <c r="P79" s="17">
        <v>0</v>
      </c>
      <c r="Q79" s="14">
        <v>0</v>
      </c>
      <c r="R79" s="14">
        <v>0</v>
      </c>
      <c r="S79" s="10">
        <f t="shared" si="1"/>
        <v>0</v>
      </c>
      <c r="V79" s="1"/>
      <c r="W79" s="1"/>
      <c r="X79" s="65" t="s">
        <v>73</v>
      </c>
      <c r="Y79" s="66"/>
      <c r="Z79" s="66"/>
      <c r="AA79" s="66"/>
      <c r="AB79" s="67"/>
      <c r="AC79" s="65" t="s">
        <v>1</v>
      </c>
      <c r="AD79" s="66"/>
      <c r="AE79" s="66"/>
      <c r="AF79" s="66"/>
      <c r="AG79" s="67"/>
      <c r="AH79" s="65" t="s">
        <v>156</v>
      </c>
      <c r="AI79" s="66"/>
      <c r="AJ79" s="66"/>
      <c r="AK79" s="67"/>
    </row>
    <row r="80" spans="2:37" x14ac:dyDescent="0.3">
      <c r="V80" s="1" t="s">
        <v>69</v>
      </c>
      <c r="W80" s="1" t="s">
        <v>5</v>
      </c>
      <c r="X80" s="4" t="s">
        <v>2</v>
      </c>
      <c r="Y80" s="4" t="s">
        <v>0</v>
      </c>
      <c r="Z80" s="5" t="s">
        <v>3</v>
      </c>
      <c r="AA80" s="5" t="s">
        <v>4</v>
      </c>
      <c r="AB80" s="6" t="s">
        <v>6</v>
      </c>
      <c r="AC80" s="4" t="s">
        <v>2</v>
      </c>
      <c r="AD80" s="4" t="s">
        <v>0</v>
      </c>
      <c r="AE80" s="5" t="s">
        <v>3</v>
      </c>
      <c r="AF80" s="5" t="s">
        <v>4</v>
      </c>
      <c r="AG80" s="6" t="s">
        <v>6</v>
      </c>
      <c r="AH80" s="4" t="s">
        <v>0</v>
      </c>
      <c r="AI80" s="5" t="s">
        <v>3</v>
      </c>
      <c r="AJ80" s="5" t="s">
        <v>4</v>
      </c>
      <c r="AK80" s="6" t="s">
        <v>6</v>
      </c>
    </row>
    <row r="81" spans="2:37" x14ac:dyDescent="0.3">
      <c r="V81" s="1" t="s">
        <v>64</v>
      </c>
      <c r="W81" s="2">
        <v>3</v>
      </c>
      <c r="X81" s="2">
        <v>2</v>
      </c>
      <c r="Y81" s="2">
        <v>2</v>
      </c>
      <c r="Z81" s="3">
        <v>1</v>
      </c>
      <c r="AA81" s="2">
        <v>48</v>
      </c>
      <c r="AB81" s="2">
        <v>24</v>
      </c>
      <c r="AC81" s="2">
        <v>2</v>
      </c>
      <c r="AD81" s="2">
        <v>2</v>
      </c>
      <c r="AE81" s="3">
        <v>1</v>
      </c>
      <c r="AF81" s="2">
        <v>54</v>
      </c>
      <c r="AG81" s="2">
        <v>27</v>
      </c>
      <c r="AH81" s="2">
        <v>2</v>
      </c>
      <c r="AI81" s="3">
        <v>1</v>
      </c>
      <c r="AJ81" s="2">
        <v>36</v>
      </c>
      <c r="AK81" s="2">
        <v>18</v>
      </c>
    </row>
    <row r="82" spans="2:37" x14ac:dyDescent="0.3">
      <c r="V82" s="1" t="s">
        <v>24</v>
      </c>
      <c r="W82" s="2">
        <v>43</v>
      </c>
      <c r="X82" s="2">
        <v>41</v>
      </c>
      <c r="Y82" s="2">
        <v>41</v>
      </c>
      <c r="Z82" s="3">
        <v>1</v>
      </c>
      <c r="AA82" s="2">
        <v>984</v>
      </c>
      <c r="AB82" s="2">
        <v>24</v>
      </c>
      <c r="AC82" s="2">
        <v>41</v>
      </c>
      <c r="AD82" s="2">
        <v>40</v>
      </c>
      <c r="AE82" s="3">
        <v>0.97560975609756095</v>
      </c>
      <c r="AF82" s="2">
        <v>1116</v>
      </c>
      <c r="AG82" s="2">
        <v>27.9</v>
      </c>
      <c r="AH82" s="2">
        <v>40</v>
      </c>
      <c r="AI82" s="3">
        <v>1</v>
      </c>
      <c r="AJ82" s="2">
        <v>711</v>
      </c>
      <c r="AK82" s="2">
        <v>17.774999999999999</v>
      </c>
    </row>
    <row r="83" spans="2:37" x14ac:dyDescent="0.3">
      <c r="V83" s="1" t="s">
        <v>47</v>
      </c>
      <c r="W83" s="2">
        <v>144</v>
      </c>
      <c r="X83" s="2">
        <v>133</v>
      </c>
      <c r="Y83" s="2">
        <v>133</v>
      </c>
      <c r="Z83" s="3">
        <v>1</v>
      </c>
      <c r="AA83" s="2">
        <v>3048</v>
      </c>
      <c r="AB83" s="2">
        <v>22.917293000000001</v>
      </c>
      <c r="AC83" s="2">
        <v>134</v>
      </c>
      <c r="AD83" s="2">
        <v>133</v>
      </c>
      <c r="AE83" s="3">
        <v>0.99253731343283602</v>
      </c>
      <c r="AF83" s="2">
        <v>2595.6</v>
      </c>
      <c r="AG83" s="2">
        <v>19.515789473684201</v>
      </c>
      <c r="AH83" s="2">
        <v>134</v>
      </c>
      <c r="AI83" s="3">
        <v>1</v>
      </c>
      <c r="AJ83" s="2">
        <v>1866.6</v>
      </c>
      <c r="AK83" s="2">
        <v>13.9298507462687</v>
      </c>
    </row>
    <row r="84" spans="2:37" x14ac:dyDescent="0.3">
      <c r="V84" s="1" t="s">
        <v>46</v>
      </c>
      <c r="W84" s="2">
        <v>239</v>
      </c>
      <c r="X84" s="2">
        <v>223</v>
      </c>
      <c r="Y84" s="2">
        <v>223</v>
      </c>
      <c r="Z84" s="3">
        <v>1</v>
      </c>
      <c r="AA84" s="2">
        <v>4221.6000000000004</v>
      </c>
      <c r="AB84" s="2">
        <v>18.930941000000001</v>
      </c>
      <c r="AC84" s="2">
        <v>223</v>
      </c>
      <c r="AD84" s="2">
        <v>211</v>
      </c>
      <c r="AE84" s="3">
        <v>0.94618834080717495</v>
      </c>
      <c r="AF84" s="2">
        <v>3068.4</v>
      </c>
      <c r="AG84" s="2">
        <v>14.542180094786699</v>
      </c>
      <c r="AH84" s="2">
        <v>220</v>
      </c>
      <c r="AI84" s="3">
        <v>1</v>
      </c>
      <c r="AJ84" s="2">
        <v>2166.6</v>
      </c>
      <c r="AK84" s="2">
        <v>9.8481818181818195</v>
      </c>
    </row>
    <row r="85" spans="2:37" x14ac:dyDescent="0.3">
      <c r="B85" s="12" t="s">
        <v>20</v>
      </c>
      <c r="C85" s="70" t="s">
        <v>149</v>
      </c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2"/>
      <c r="V85" s="1" t="s">
        <v>25</v>
      </c>
      <c r="W85" s="2">
        <v>392</v>
      </c>
      <c r="X85" s="2">
        <v>353</v>
      </c>
      <c r="Y85" s="2">
        <v>353</v>
      </c>
      <c r="Z85" s="3">
        <v>1</v>
      </c>
      <c r="AA85" s="2">
        <v>4273.2</v>
      </c>
      <c r="AB85" s="2">
        <v>12.105382000000001</v>
      </c>
      <c r="AC85" s="2">
        <v>353</v>
      </c>
      <c r="AD85" s="2">
        <v>296</v>
      </c>
      <c r="AE85" s="3">
        <v>0.83852691218130304</v>
      </c>
      <c r="AF85" s="2">
        <v>3213</v>
      </c>
      <c r="AG85" s="2">
        <v>10.8547297297297</v>
      </c>
      <c r="AH85" s="2">
        <v>340</v>
      </c>
      <c r="AI85" s="3">
        <v>1</v>
      </c>
      <c r="AJ85" s="2">
        <v>2368.8000000000002</v>
      </c>
      <c r="AK85" s="2">
        <v>6.9670588235294098</v>
      </c>
    </row>
    <row r="86" spans="2:37" x14ac:dyDescent="0.3">
      <c r="B86" s="1"/>
      <c r="C86" s="2"/>
      <c r="D86" s="65" t="s">
        <v>73</v>
      </c>
      <c r="E86" s="66"/>
      <c r="F86" s="66"/>
      <c r="G86" s="66"/>
      <c r="H86" s="67"/>
      <c r="I86" s="13" t="s">
        <v>153</v>
      </c>
      <c r="J86" s="65" t="s">
        <v>1</v>
      </c>
      <c r="K86" s="66"/>
      <c r="L86" s="66"/>
      <c r="M86" s="66"/>
      <c r="N86" s="66"/>
      <c r="O86" s="65" t="s">
        <v>156</v>
      </c>
      <c r="P86" s="66"/>
      <c r="Q86" s="66"/>
      <c r="R86" s="67"/>
      <c r="V86" s="1" t="s">
        <v>27</v>
      </c>
      <c r="W86" s="2">
        <v>589</v>
      </c>
      <c r="X86" s="2">
        <v>504</v>
      </c>
      <c r="Y86" s="2">
        <v>501</v>
      </c>
      <c r="Z86" s="3">
        <v>0.99404761904761896</v>
      </c>
      <c r="AA86" s="2">
        <v>3982.2</v>
      </c>
      <c r="AB86" s="2">
        <v>7.9485020000000004</v>
      </c>
      <c r="AC86" s="2">
        <v>503</v>
      </c>
      <c r="AD86" s="2">
        <v>349</v>
      </c>
      <c r="AE86" s="3">
        <v>0.69383697813121303</v>
      </c>
      <c r="AF86" s="2">
        <v>3059.4</v>
      </c>
      <c r="AG86" s="2">
        <v>8.7661891117478508</v>
      </c>
      <c r="AH86" s="2">
        <v>420</v>
      </c>
      <c r="AI86" s="3">
        <v>0.99762470308788598</v>
      </c>
      <c r="AJ86" s="2">
        <v>2570.4</v>
      </c>
      <c r="AK86" s="2">
        <v>6.12</v>
      </c>
    </row>
    <row r="87" spans="2:37" x14ac:dyDescent="0.3">
      <c r="B87" s="1" t="s">
        <v>71</v>
      </c>
      <c r="C87" s="2" t="s">
        <v>5</v>
      </c>
      <c r="D87" s="15" t="s">
        <v>2</v>
      </c>
      <c r="E87" s="15" t="s">
        <v>0</v>
      </c>
      <c r="F87" s="16" t="s">
        <v>3</v>
      </c>
      <c r="G87" s="15" t="s">
        <v>4</v>
      </c>
      <c r="H87" s="15" t="s">
        <v>6</v>
      </c>
      <c r="I87" s="6" t="s">
        <v>154</v>
      </c>
      <c r="J87" s="15" t="s">
        <v>2</v>
      </c>
      <c r="K87" s="15" t="s">
        <v>0</v>
      </c>
      <c r="L87" s="16" t="s">
        <v>3</v>
      </c>
      <c r="M87" s="15" t="s">
        <v>4</v>
      </c>
      <c r="N87" s="15" t="s">
        <v>7</v>
      </c>
      <c r="O87" s="15" t="s">
        <v>0</v>
      </c>
      <c r="P87" s="16" t="s">
        <v>3</v>
      </c>
      <c r="Q87" s="15" t="s">
        <v>4</v>
      </c>
      <c r="R87" s="15" t="s">
        <v>7</v>
      </c>
      <c r="V87" s="1" t="s">
        <v>22</v>
      </c>
      <c r="W87" s="2">
        <v>874</v>
      </c>
      <c r="X87" s="2">
        <v>757</v>
      </c>
      <c r="Y87" s="2">
        <v>715</v>
      </c>
      <c r="Z87" s="3">
        <v>0.94451783355350105</v>
      </c>
      <c r="AA87" s="2">
        <v>4540.2</v>
      </c>
      <c r="AB87" s="2">
        <v>6.3499299999999996</v>
      </c>
      <c r="AC87" s="2">
        <v>758</v>
      </c>
      <c r="AD87" s="2">
        <v>364</v>
      </c>
      <c r="AE87" s="3">
        <v>0.48021108179419503</v>
      </c>
      <c r="AF87" s="2">
        <v>2739.6</v>
      </c>
      <c r="AG87" s="2">
        <v>7.5263736263736298</v>
      </c>
      <c r="AH87" s="2">
        <v>428</v>
      </c>
      <c r="AI87" s="3">
        <v>0.99534883720930201</v>
      </c>
      <c r="AJ87" s="2">
        <v>2370.6</v>
      </c>
      <c r="AK87" s="2">
        <v>5.5387850467289699</v>
      </c>
    </row>
    <row r="88" spans="2:37" x14ac:dyDescent="0.3">
      <c r="B88" s="1">
        <v>5</v>
      </c>
      <c r="C88" s="2">
        <v>25</v>
      </c>
      <c r="D88" s="2">
        <v>21</v>
      </c>
      <c r="E88" s="2">
        <v>20</v>
      </c>
      <c r="F88" s="8">
        <v>0.952380952380952</v>
      </c>
      <c r="G88" s="2">
        <v>548.4</v>
      </c>
      <c r="H88" s="2">
        <v>27.42</v>
      </c>
      <c r="I88" s="2"/>
      <c r="J88" s="2">
        <v>22</v>
      </c>
      <c r="K88" s="2">
        <v>22</v>
      </c>
      <c r="L88" s="8">
        <v>1</v>
      </c>
      <c r="M88" s="2">
        <v>534</v>
      </c>
      <c r="N88" s="2">
        <v>24.272727272727298</v>
      </c>
      <c r="O88" s="2">
        <v>22</v>
      </c>
      <c r="P88" s="8">
        <v>1</v>
      </c>
      <c r="Q88" s="2">
        <v>720</v>
      </c>
      <c r="R88" s="2">
        <v>32.727272727272698</v>
      </c>
      <c r="V88" s="1" t="s">
        <v>29</v>
      </c>
      <c r="W88" s="2">
        <v>1396</v>
      </c>
      <c r="X88" s="2">
        <v>1177</v>
      </c>
      <c r="Y88" s="2">
        <v>632</v>
      </c>
      <c r="Z88" s="3">
        <v>0.53695836873406999</v>
      </c>
      <c r="AA88" s="2">
        <v>3910.8</v>
      </c>
      <c r="AB88" s="2">
        <v>6.1879739999999996</v>
      </c>
      <c r="AC88" s="2">
        <v>1178</v>
      </c>
      <c r="AD88" s="2">
        <v>389</v>
      </c>
      <c r="AE88" s="3">
        <v>0.33022071307300499</v>
      </c>
      <c r="AF88" s="2">
        <v>2584.8000000000002</v>
      </c>
      <c r="AG88" s="2">
        <v>6.64473007712082</v>
      </c>
      <c r="AH88" s="2">
        <v>359</v>
      </c>
      <c r="AI88" s="3">
        <v>0.99722222222222201</v>
      </c>
      <c r="AJ88" s="2">
        <v>1848.6</v>
      </c>
      <c r="AK88" s="2">
        <v>5.1493036211699197</v>
      </c>
    </row>
    <row r="89" spans="2:37" x14ac:dyDescent="0.3">
      <c r="B89" s="1">
        <v>4</v>
      </c>
      <c r="C89" s="2">
        <v>86</v>
      </c>
      <c r="D89" s="2">
        <v>79</v>
      </c>
      <c r="E89" s="2">
        <v>71</v>
      </c>
      <c r="F89" s="8">
        <v>0.89873417721519</v>
      </c>
      <c r="G89" s="2">
        <v>997.2</v>
      </c>
      <c r="H89" s="2">
        <v>14.045070000000001</v>
      </c>
      <c r="I89" s="2"/>
      <c r="J89" s="2">
        <v>79</v>
      </c>
      <c r="K89" s="2">
        <v>71</v>
      </c>
      <c r="L89" s="8">
        <v>0.89873417721519</v>
      </c>
      <c r="M89" s="2">
        <v>1308.5999999999999</v>
      </c>
      <c r="N89" s="2">
        <v>18.430985915493</v>
      </c>
      <c r="O89" s="2">
        <v>79</v>
      </c>
      <c r="P89" s="8">
        <v>1</v>
      </c>
      <c r="Q89" s="2">
        <v>1542</v>
      </c>
      <c r="R89" s="2">
        <v>19.518987341772199</v>
      </c>
      <c r="V89" s="1" t="s">
        <v>41</v>
      </c>
      <c r="W89" s="2">
        <v>2420</v>
      </c>
      <c r="X89" s="2">
        <v>2084</v>
      </c>
      <c r="Y89" s="2">
        <v>233</v>
      </c>
      <c r="Z89" s="3">
        <v>0.11180422264875201</v>
      </c>
      <c r="AA89" s="2">
        <v>987.6</v>
      </c>
      <c r="AB89" s="2">
        <v>4.238626</v>
      </c>
      <c r="AC89" s="2">
        <v>2080</v>
      </c>
      <c r="AD89" s="2">
        <v>375</v>
      </c>
      <c r="AE89" s="3">
        <v>0.18028846153846201</v>
      </c>
      <c r="AF89" s="2">
        <v>2225.4</v>
      </c>
      <c r="AG89" s="2">
        <v>5.9344000000000001</v>
      </c>
      <c r="AH89" s="2">
        <v>272</v>
      </c>
      <c r="AI89" s="3">
        <v>0.98550724637681197</v>
      </c>
      <c r="AJ89" s="2">
        <v>1169.4000000000001</v>
      </c>
      <c r="AK89" s="2">
        <v>4.2992647058823499</v>
      </c>
    </row>
    <row r="90" spans="2:37" x14ac:dyDescent="0.3">
      <c r="B90" s="1">
        <v>3</v>
      </c>
      <c r="C90" s="2">
        <v>316</v>
      </c>
      <c r="D90" s="2">
        <v>275</v>
      </c>
      <c r="E90" s="2">
        <v>221</v>
      </c>
      <c r="F90" s="8">
        <v>0.80363636363636404</v>
      </c>
      <c r="G90" s="2">
        <v>2743.2</v>
      </c>
      <c r="H90" s="2">
        <v>12.412668999999999</v>
      </c>
      <c r="I90" s="2"/>
      <c r="J90" s="2">
        <v>273</v>
      </c>
      <c r="K90" s="2">
        <v>208</v>
      </c>
      <c r="L90" s="8">
        <v>0.76190476190476197</v>
      </c>
      <c r="M90" s="2">
        <v>2893.8</v>
      </c>
      <c r="N90" s="2">
        <v>13.9125</v>
      </c>
      <c r="O90" s="2">
        <v>231</v>
      </c>
      <c r="P90" s="8">
        <v>0.99568965517241403</v>
      </c>
      <c r="Q90" s="2">
        <v>3268.8</v>
      </c>
      <c r="R90" s="2">
        <v>14.150649350649299</v>
      </c>
      <c r="V90" s="1" t="s">
        <v>37</v>
      </c>
      <c r="W90" s="2">
        <v>6920</v>
      </c>
      <c r="X90" s="2">
        <v>5935</v>
      </c>
      <c r="Y90" s="2">
        <v>262</v>
      </c>
      <c r="Z90" s="3">
        <v>4.4144903117101897E-2</v>
      </c>
      <c r="AA90" s="2">
        <v>847.8</v>
      </c>
      <c r="AB90" s="2">
        <v>3.2358769999999999</v>
      </c>
      <c r="AC90" s="2">
        <v>5938</v>
      </c>
      <c r="AD90" s="2">
        <v>471</v>
      </c>
      <c r="AE90" s="3">
        <v>7.9319636241158606E-2</v>
      </c>
      <c r="AF90" s="2">
        <v>2399.4</v>
      </c>
      <c r="AG90" s="2">
        <v>5.09426751592357</v>
      </c>
      <c r="AH90" s="2">
        <v>230</v>
      </c>
      <c r="AI90" s="3">
        <v>0.89494163424124495</v>
      </c>
      <c r="AJ90" s="2">
        <v>873</v>
      </c>
      <c r="AK90" s="2">
        <v>3.79565217391304</v>
      </c>
    </row>
    <row r="91" spans="2:37" x14ac:dyDescent="0.3">
      <c r="B91" s="1">
        <v>2</v>
      </c>
      <c r="C91" s="2">
        <v>1905</v>
      </c>
      <c r="D91" s="2">
        <v>1628</v>
      </c>
      <c r="E91" s="2">
        <v>994</v>
      </c>
      <c r="F91" s="8">
        <v>0.61056511056511098</v>
      </c>
      <c r="G91" s="2">
        <v>7423.8</v>
      </c>
      <c r="H91" s="2">
        <v>7.4686110000000001</v>
      </c>
      <c r="I91" s="2"/>
      <c r="J91" s="2">
        <v>1630</v>
      </c>
      <c r="K91" s="2">
        <v>927</v>
      </c>
      <c r="L91" s="8">
        <v>0.56871165644171795</v>
      </c>
      <c r="M91" s="2">
        <v>8450.4</v>
      </c>
      <c r="N91" s="2">
        <v>9.1158576051779896</v>
      </c>
      <c r="O91" s="2">
        <v>799</v>
      </c>
      <c r="P91" s="8">
        <v>0.981572481572482</v>
      </c>
      <c r="Q91" s="2">
        <v>9040.2000000000007</v>
      </c>
      <c r="R91" s="2">
        <v>11.314392991239</v>
      </c>
      <c r="V91" s="1" t="s">
        <v>49</v>
      </c>
      <c r="W91" s="2">
        <v>32149</v>
      </c>
      <c r="X91" s="2">
        <v>26892</v>
      </c>
      <c r="Y91" s="2">
        <v>0</v>
      </c>
      <c r="Z91" s="3">
        <v>0</v>
      </c>
      <c r="AA91" s="2">
        <v>0</v>
      </c>
      <c r="AB91" s="2">
        <v>0</v>
      </c>
      <c r="AC91" s="2">
        <v>26848</v>
      </c>
      <c r="AD91" s="2">
        <v>384</v>
      </c>
      <c r="AE91" s="3">
        <v>1.4302741358760401E-2</v>
      </c>
      <c r="AF91" s="2">
        <v>1555.2</v>
      </c>
      <c r="AG91" s="2">
        <v>4.05</v>
      </c>
      <c r="AH91" s="2">
        <v>72</v>
      </c>
      <c r="AI91" s="3">
        <v>0.215568862275449</v>
      </c>
      <c r="AJ91" s="2">
        <v>231</v>
      </c>
      <c r="AK91" s="2">
        <v>3.2083333333333299</v>
      </c>
    </row>
    <row r="92" spans="2:37" x14ac:dyDescent="0.3">
      <c r="B92" s="1">
        <v>1</v>
      </c>
      <c r="C92" s="2">
        <v>35915</v>
      </c>
      <c r="D92" s="2">
        <v>30244</v>
      </c>
      <c r="E92" s="2">
        <v>2477</v>
      </c>
      <c r="F92" s="8">
        <v>8.1900542256315295E-2</v>
      </c>
      <c r="G92" s="2">
        <v>12732</v>
      </c>
      <c r="H92" s="2">
        <v>5.1400880000000004</v>
      </c>
      <c r="I92" s="2"/>
      <c r="J92" s="2">
        <v>30199</v>
      </c>
      <c r="K92" s="2">
        <v>1814</v>
      </c>
      <c r="L92" s="8">
        <v>6.0068214179277497E-2</v>
      </c>
      <c r="M92" s="2">
        <v>9565.2000000000098</v>
      </c>
      <c r="N92" s="2">
        <v>5.2729878721058503</v>
      </c>
      <c r="O92" s="2">
        <v>1598</v>
      </c>
      <c r="P92" s="8">
        <v>0.97320341047503001</v>
      </c>
      <c r="Q92" s="2">
        <v>18329.400000000001</v>
      </c>
      <c r="R92" s="2">
        <v>11.4702127659575</v>
      </c>
      <c r="V92" s="1" t="s">
        <v>42</v>
      </c>
      <c r="W92" s="2">
        <v>21</v>
      </c>
      <c r="X92" s="2">
        <v>21</v>
      </c>
      <c r="Y92" s="2">
        <v>21</v>
      </c>
      <c r="Z92" s="3">
        <v>1</v>
      </c>
      <c r="AA92" s="2">
        <v>504</v>
      </c>
      <c r="AB92" s="2">
        <v>24</v>
      </c>
      <c r="AC92" s="2">
        <v>21</v>
      </c>
      <c r="AD92" s="2">
        <v>21</v>
      </c>
      <c r="AE92" s="3">
        <v>1</v>
      </c>
      <c r="AF92" s="2">
        <v>687.6</v>
      </c>
      <c r="AG92" s="2">
        <v>32.742857142857098</v>
      </c>
      <c r="AH92" s="2">
        <v>21</v>
      </c>
      <c r="AI92" s="3">
        <v>1</v>
      </c>
      <c r="AJ92" s="2">
        <v>378</v>
      </c>
      <c r="AK92" s="2">
        <v>18</v>
      </c>
    </row>
    <row r="93" spans="2:37" x14ac:dyDescent="0.3">
      <c r="V93" s="1" t="s">
        <v>38</v>
      </c>
      <c r="W93" s="2">
        <v>82</v>
      </c>
      <c r="X93" s="2">
        <v>69</v>
      </c>
      <c r="Y93" s="2">
        <v>69</v>
      </c>
      <c r="Z93" s="3">
        <v>1</v>
      </c>
      <c r="AA93" s="2">
        <v>1656</v>
      </c>
      <c r="AB93" s="2">
        <v>24</v>
      </c>
      <c r="AC93" s="2">
        <v>69</v>
      </c>
      <c r="AD93" s="2">
        <v>69</v>
      </c>
      <c r="AE93" s="3">
        <v>1</v>
      </c>
      <c r="AF93" s="2">
        <v>1972.8</v>
      </c>
      <c r="AG93" s="2">
        <v>28.5913043478261</v>
      </c>
      <c r="AH93" s="2">
        <v>69</v>
      </c>
      <c r="AI93" s="3">
        <v>1</v>
      </c>
      <c r="AJ93" s="2">
        <v>1236</v>
      </c>
      <c r="AK93" s="2">
        <v>17.913043478260899</v>
      </c>
    </row>
    <row r="94" spans="2:37" x14ac:dyDescent="0.3">
      <c r="V94" s="1" t="s">
        <v>50</v>
      </c>
      <c r="W94" s="2">
        <v>158</v>
      </c>
      <c r="X94" s="2">
        <v>141</v>
      </c>
      <c r="Y94" s="2">
        <v>141</v>
      </c>
      <c r="Z94" s="3">
        <v>1</v>
      </c>
      <c r="AA94" s="2">
        <v>3182.4</v>
      </c>
      <c r="AB94" s="2">
        <v>22.570212000000001</v>
      </c>
      <c r="AC94" s="2">
        <v>141</v>
      </c>
      <c r="AD94" s="2">
        <v>140</v>
      </c>
      <c r="AE94" s="3">
        <v>0.99290780141844004</v>
      </c>
      <c r="AF94" s="2">
        <v>2289.6</v>
      </c>
      <c r="AG94" s="2">
        <v>16.354285714285702</v>
      </c>
      <c r="AH94" s="2">
        <v>141</v>
      </c>
      <c r="AI94" s="3">
        <v>1</v>
      </c>
      <c r="AJ94" s="2">
        <v>2283.6</v>
      </c>
      <c r="AK94" s="2">
        <v>16.195744680851099</v>
      </c>
    </row>
    <row r="95" spans="2:37" x14ac:dyDescent="0.3">
      <c r="V95" s="1" t="s">
        <v>31</v>
      </c>
      <c r="W95" s="2">
        <v>270</v>
      </c>
      <c r="X95" s="2">
        <v>251</v>
      </c>
      <c r="Y95" s="2">
        <v>251</v>
      </c>
      <c r="Z95" s="3">
        <v>1</v>
      </c>
      <c r="AA95" s="2">
        <v>5011.8</v>
      </c>
      <c r="AB95" s="2">
        <v>19.96733</v>
      </c>
      <c r="AC95" s="2">
        <v>251</v>
      </c>
      <c r="AD95" s="2">
        <v>245</v>
      </c>
      <c r="AE95" s="3">
        <v>0.97609561752988105</v>
      </c>
      <c r="AF95" s="2">
        <v>2930.4</v>
      </c>
      <c r="AG95" s="2">
        <v>11.960816326530599</v>
      </c>
      <c r="AH95" s="2">
        <v>250</v>
      </c>
      <c r="AI95" s="3">
        <v>1</v>
      </c>
      <c r="AJ95" s="2">
        <v>3227.4</v>
      </c>
      <c r="AK95" s="2">
        <v>12.909599999999999</v>
      </c>
    </row>
    <row r="96" spans="2:37" x14ac:dyDescent="0.3">
      <c r="V96" s="1" t="s">
        <v>16</v>
      </c>
      <c r="W96" s="2">
        <v>346</v>
      </c>
      <c r="X96" s="2">
        <v>313</v>
      </c>
      <c r="Y96" s="2">
        <v>313</v>
      </c>
      <c r="Z96" s="3">
        <v>1</v>
      </c>
      <c r="AA96" s="2">
        <v>2982.6</v>
      </c>
      <c r="AB96" s="2">
        <v>9.5290730000000003</v>
      </c>
      <c r="AC96" s="2">
        <v>315</v>
      </c>
      <c r="AD96" s="2">
        <v>300</v>
      </c>
      <c r="AE96" s="3">
        <v>0.952380952380952</v>
      </c>
      <c r="AF96" s="2">
        <v>2503.8000000000002</v>
      </c>
      <c r="AG96" s="2">
        <v>8.3460000000000001</v>
      </c>
      <c r="AH96" s="2">
        <v>313</v>
      </c>
      <c r="AI96" s="3">
        <v>1</v>
      </c>
      <c r="AJ96" s="2">
        <v>3071.4</v>
      </c>
      <c r="AK96" s="2">
        <v>9.8127795527156501</v>
      </c>
    </row>
    <row r="97" spans="2:37" x14ac:dyDescent="0.3">
      <c r="V97" s="1" t="s">
        <v>34</v>
      </c>
      <c r="W97" s="2">
        <v>491</v>
      </c>
      <c r="X97" s="2">
        <v>450</v>
      </c>
      <c r="Y97" s="2">
        <v>448</v>
      </c>
      <c r="Z97" s="3">
        <v>0.99555555555555597</v>
      </c>
      <c r="AA97" s="2">
        <v>3153</v>
      </c>
      <c r="AB97" s="2">
        <v>7.0379459999999998</v>
      </c>
      <c r="AC97" s="2">
        <v>452</v>
      </c>
      <c r="AD97" s="2">
        <v>416</v>
      </c>
      <c r="AE97" s="3">
        <v>0.92035398230088505</v>
      </c>
      <c r="AF97" s="2">
        <v>2319</v>
      </c>
      <c r="AG97" s="2">
        <v>5.5745192307692299</v>
      </c>
      <c r="AH97" s="2">
        <v>432</v>
      </c>
      <c r="AI97" s="3">
        <v>0.99769053117782902</v>
      </c>
      <c r="AJ97" s="2">
        <v>3559.8</v>
      </c>
      <c r="AK97" s="2">
        <v>8.24027777777777</v>
      </c>
    </row>
    <row r="98" spans="2:37" x14ac:dyDescent="0.3">
      <c r="V98" s="1" t="s">
        <v>39</v>
      </c>
      <c r="W98" s="2">
        <v>699</v>
      </c>
      <c r="X98" s="2">
        <v>623</v>
      </c>
      <c r="Y98" s="2">
        <v>606</v>
      </c>
      <c r="Z98" s="3">
        <v>0.97271268057784899</v>
      </c>
      <c r="AA98" s="2">
        <v>3518.4</v>
      </c>
      <c r="AB98" s="2">
        <v>5.8059399999999997</v>
      </c>
      <c r="AC98" s="2">
        <v>628</v>
      </c>
      <c r="AD98" s="2">
        <v>529</v>
      </c>
      <c r="AE98" s="3">
        <v>0.84235668789808904</v>
      </c>
      <c r="AF98" s="2">
        <v>2496.6</v>
      </c>
      <c r="AG98" s="2">
        <v>4.7194706994329003</v>
      </c>
      <c r="AH98" s="2">
        <v>549</v>
      </c>
      <c r="AI98" s="3">
        <v>0.99456521739130399</v>
      </c>
      <c r="AJ98" s="2">
        <v>3645.6</v>
      </c>
      <c r="AK98" s="2">
        <v>6.6404371584699398</v>
      </c>
    </row>
    <row r="99" spans="2:37" x14ac:dyDescent="0.3">
      <c r="V99" s="1" t="s">
        <v>17</v>
      </c>
      <c r="W99" s="2">
        <v>923</v>
      </c>
      <c r="X99" s="2">
        <v>814</v>
      </c>
      <c r="Y99" s="2">
        <v>630</v>
      </c>
      <c r="Z99" s="3">
        <v>0.77395577395577397</v>
      </c>
      <c r="AA99" s="2">
        <v>3058.8</v>
      </c>
      <c r="AB99" s="2">
        <v>4.8552379999999999</v>
      </c>
      <c r="AC99" s="2">
        <v>819</v>
      </c>
      <c r="AD99" s="2">
        <v>649</v>
      </c>
      <c r="AE99" s="3">
        <v>0.79242979242979195</v>
      </c>
      <c r="AF99" s="2">
        <v>2356.8000000000002</v>
      </c>
      <c r="AG99" s="2">
        <v>3.63143297380585</v>
      </c>
      <c r="AH99" s="2">
        <v>592</v>
      </c>
      <c r="AI99" s="3">
        <v>0.96732026143790895</v>
      </c>
      <c r="AJ99" s="2">
        <v>3238.8</v>
      </c>
      <c r="AK99" s="2">
        <v>5.4709459459459504</v>
      </c>
    </row>
    <row r="100" spans="2:37" x14ac:dyDescent="0.3">
      <c r="V100" s="1" t="s">
        <v>18</v>
      </c>
      <c r="W100" s="2">
        <v>1449</v>
      </c>
      <c r="X100" s="2">
        <v>1267</v>
      </c>
      <c r="Y100" s="2">
        <v>653</v>
      </c>
      <c r="Z100" s="3">
        <v>0.51539068666140497</v>
      </c>
      <c r="AA100" s="2">
        <v>2576.4</v>
      </c>
      <c r="AB100" s="2">
        <v>3.9454820000000002</v>
      </c>
      <c r="AC100" s="2">
        <v>1276</v>
      </c>
      <c r="AD100" s="2">
        <v>915</v>
      </c>
      <c r="AE100" s="3">
        <v>0.71708463949843304</v>
      </c>
      <c r="AF100" s="2">
        <v>2850</v>
      </c>
      <c r="AG100" s="2">
        <v>3.1147540983606499</v>
      </c>
      <c r="AH100" s="2">
        <v>756</v>
      </c>
      <c r="AI100" s="3">
        <v>0.95939086294416198</v>
      </c>
      <c r="AJ100" s="2">
        <v>3055.8</v>
      </c>
      <c r="AK100" s="2">
        <v>4.0420634920634901</v>
      </c>
    </row>
    <row r="101" spans="2:37" x14ac:dyDescent="0.3">
      <c r="V101" s="1" t="s">
        <v>12</v>
      </c>
      <c r="W101" s="2">
        <v>2976</v>
      </c>
      <c r="X101" s="2">
        <v>2562</v>
      </c>
      <c r="Y101" s="2">
        <v>963</v>
      </c>
      <c r="Z101" s="3">
        <v>0.37587822014051497</v>
      </c>
      <c r="AA101" s="2">
        <v>2977.8</v>
      </c>
      <c r="AB101" s="2">
        <v>3.0922109999999998</v>
      </c>
      <c r="AC101" s="2">
        <v>2576</v>
      </c>
      <c r="AD101" s="2">
        <v>1520</v>
      </c>
      <c r="AE101" s="3">
        <v>0.59006211180124202</v>
      </c>
      <c r="AF101" s="2">
        <v>3843.5999999999799</v>
      </c>
      <c r="AG101" s="2">
        <v>2.5286842105263001</v>
      </c>
      <c r="AH101" s="2">
        <v>1049</v>
      </c>
      <c r="AI101" s="3">
        <v>0.81953125000000004</v>
      </c>
      <c r="AJ101" s="2">
        <v>2810.99999999999</v>
      </c>
      <c r="AK101" s="2">
        <v>2.6796949475691001</v>
      </c>
    </row>
    <row r="102" spans="2:37" x14ac:dyDescent="0.3">
      <c r="B102" s="12" t="s">
        <v>8</v>
      </c>
      <c r="C102" s="70" t="s">
        <v>149</v>
      </c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2"/>
      <c r="V102" s="1" t="s">
        <v>11</v>
      </c>
      <c r="W102" s="2">
        <v>13107</v>
      </c>
      <c r="X102" s="2">
        <v>11019</v>
      </c>
      <c r="Y102" s="2">
        <v>0</v>
      </c>
      <c r="Z102" s="3">
        <v>0</v>
      </c>
      <c r="AA102" s="2">
        <v>0</v>
      </c>
      <c r="AB102" s="2">
        <v>0</v>
      </c>
      <c r="AC102" s="2">
        <v>11066</v>
      </c>
      <c r="AD102" s="2">
        <v>2566</v>
      </c>
      <c r="AE102" s="3">
        <v>0.23188143864088201</v>
      </c>
      <c r="AF102" s="2">
        <v>5020.1999999999798</v>
      </c>
      <c r="AG102" s="2">
        <v>1.9564302416211901</v>
      </c>
      <c r="AH102" s="2">
        <v>423</v>
      </c>
      <c r="AI102" s="3">
        <v>0.16601255886970201</v>
      </c>
      <c r="AJ102" s="2">
        <v>1017.6</v>
      </c>
      <c r="AK102" s="2">
        <v>2.4056737588652499</v>
      </c>
    </row>
    <row r="103" spans="2:37" x14ac:dyDescent="0.3">
      <c r="B103" s="1"/>
      <c r="C103" s="2"/>
      <c r="D103" s="65" t="s">
        <v>73</v>
      </c>
      <c r="E103" s="66"/>
      <c r="F103" s="66"/>
      <c r="G103" s="66"/>
      <c r="H103" s="67"/>
      <c r="I103" s="13" t="s">
        <v>153</v>
      </c>
      <c r="J103" s="65" t="s">
        <v>1</v>
      </c>
      <c r="K103" s="66"/>
      <c r="L103" s="66"/>
      <c r="M103" s="66"/>
      <c r="N103" s="66"/>
      <c r="O103" s="65" t="s">
        <v>156</v>
      </c>
      <c r="P103" s="66"/>
      <c r="Q103" s="66"/>
      <c r="R103" s="67"/>
      <c r="V103" s="1" t="s">
        <v>63</v>
      </c>
      <c r="W103" s="2">
        <v>3</v>
      </c>
      <c r="X103" s="2">
        <v>2</v>
      </c>
      <c r="Y103" s="2">
        <v>2</v>
      </c>
      <c r="Z103" s="3">
        <v>1</v>
      </c>
      <c r="AA103" s="2">
        <v>48</v>
      </c>
      <c r="AB103" s="2">
        <v>24</v>
      </c>
      <c r="AC103" s="2">
        <v>2</v>
      </c>
      <c r="AD103" s="2">
        <v>2</v>
      </c>
      <c r="AE103" s="3">
        <v>1</v>
      </c>
      <c r="AF103" s="2">
        <v>60</v>
      </c>
      <c r="AG103" s="2">
        <v>30</v>
      </c>
      <c r="AH103" s="2">
        <v>2</v>
      </c>
      <c r="AI103" s="3">
        <v>1</v>
      </c>
      <c r="AJ103" s="2">
        <v>48</v>
      </c>
      <c r="AK103" s="2">
        <v>24</v>
      </c>
    </row>
    <row r="104" spans="2:37" x14ac:dyDescent="0.3">
      <c r="B104" s="1" t="s">
        <v>71</v>
      </c>
      <c r="C104" s="2" t="s">
        <v>5</v>
      </c>
      <c r="D104" s="15" t="s">
        <v>2</v>
      </c>
      <c r="E104" s="15" t="s">
        <v>0</v>
      </c>
      <c r="F104" s="16" t="s">
        <v>3</v>
      </c>
      <c r="G104" s="15" t="s">
        <v>4</v>
      </c>
      <c r="H104" s="15" t="s">
        <v>6</v>
      </c>
      <c r="I104" s="6"/>
      <c r="J104" s="15" t="s">
        <v>2</v>
      </c>
      <c r="K104" s="15" t="s">
        <v>0</v>
      </c>
      <c r="L104" s="16" t="s">
        <v>3</v>
      </c>
      <c r="M104" s="15" t="s">
        <v>4</v>
      </c>
      <c r="N104" s="15" t="s">
        <v>7</v>
      </c>
      <c r="O104" s="15" t="s">
        <v>0</v>
      </c>
      <c r="P104" s="16" t="s">
        <v>3</v>
      </c>
      <c r="Q104" s="15" t="s">
        <v>4</v>
      </c>
      <c r="R104" s="15" t="s">
        <v>7</v>
      </c>
      <c r="V104" s="1" t="s">
        <v>52</v>
      </c>
      <c r="W104" s="2">
        <v>16</v>
      </c>
      <c r="X104" s="2">
        <v>15</v>
      </c>
      <c r="Y104" s="2">
        <v>15</v>
      </c>
      <c r="Z104" s="3">
        <v>1</v>
      </c>
      <c r="AA104" s="2">
        <v>324</v>
      </c>
      <c r="AB104" s="2">
        <v>21.6</v>
      </c>
      <c r="AC104" s="2">
        <v>16</v>
      </c>
      <c r="AD104" s="2">
        <v>15</v>
      </c>
      <c r="AE104" s="3">
        <v>0.9375</v>
      </c>
      <c r="AF104" s="2">
        <v>198</v>
      </c>
      <c r="AG104" s="2">
        <v>13.2</v>
      </c>
      <c r="AH104" s="2">
        <v>16</v>
      </c>
      <c r="AI104" s="3">
        <v>1</v>
      </c>
      <c r="AJ104" s="2">
        <v>318</v>
      </c>
      <c r="AK104" s="2">
        <v>19.875</v>
      </c>
    </row>
    <row r="105" spans="2:37" x14ac:dyDescent="0.3">
      <c r="B105" s="1">
        <v>5</v>
      </c>
      <c r="C105" s="2">
        <v>901</v>
      </c>
      <c r="D105" s="2">
        <v>805</v>
      </c>
      <c r="E105" s="2">
        <v>775</v>
      </c>
      <c r="F105" s="8">
        <v>0.96273291925465798</v>
      </c>
      <c r="G105" s="2">
        <v>17449.8</v>
      </c>
      <c r="H105" s="2">
        <v>22.51587</v>
      </c>
      <c r="I105" s="2"/>
      <c r="J105" s="2">
        <v>805</v>
      </c>
      <c r="K105" s="2">
        <v>801</v>
      </c>
      <c r="L105" s="8">
        <v>0.99503105590062102</v>
      </c>
      <c r="M105" s="2">
        <v>16771.8</v>
      </c>
      <c r="N105" s="2">
        <v>20.938576779026199</v>
      </c>
      <c r="O105" s="2">
        <v>805</v>
      </c>
      <c r="P105" s="8">
        <v>1</v>
      </c>
      <c r="Q105" s="2">
        <v>21188.400000000001</v>
      </c>
      <c r="R105" s="2">
        <v>26.320993788819901</v>
      </c>
      <c r="V105" s="1" t="s">
        <v>45</v>
      </c>
      <c r="W105" s="2">
        <v>15</v>
      </c>
      <c r="X105" s="2">
        <v>11</v>
      </c>
      <c r="Y105" s="2">
        <v>11</v>
      </c>
      <c r="Z105" s="3">
        <v>1</v>
      </c>
      <c r="AA105" s="2">
        <v>120</v>
      </c>
      <c r="AB105" s="2">
        <v>10.909090000000001</v>
      </c>
      <c r="AC105" s="2">
        <v>11</v>
      </c>
      <c r="AD105" s="2">
        <v>9</v>
      </c>
      <c r="AE105" s="3">
        <v>0.81818181818181801</v>
      </c>
      <c r="AF105" s="2">
        <v>90</v>
      </c>
      <c r="AG105" s="2">
        <v>10</v>
      </c>
      <c r="AH105" s="2">
        <v>11</v>
      </c>
      <c r="AI105" s="3">
        <v>1</v>
      </c>
      <c r="AJ105" s="2">
        <v>174</v>
      </c>
      <c r="AK105" s="2">
        <v>15.818181818181801</v>
      </c>
    </row>
    <row r="106" spans="2:37" x14ac:dyDescent="0.3">
      <c r="B106" s="1">
        <v>4</v>
      </c>
      <c r="C106" s="2">
        <v>1809</v>
      </c>
      <c r="D106" s="2">
        <v>1577</v>
      </c>
      <c r="E106" s="2">
        <v>1388</v>
      </c>
      <c r="F106" s="8">
        <v>0.88015218769816095</v>
      </c>
      <c r="G106" s="2">
        <v>19785</v>
      </c>
      <c r="H106" s="2">
        <v>14.254322</v>
      </c>
      <c r="I106" s="2"/>
      <c r="J106" s="2">
        <v>1578</v>
      </c>
      <c r="K106" s="2">
        <v>1487</v>
      </c>
      <c r="L106" s="8">
        <v>0.94233206590620999</v>
      </c>
      <c r="M106" s="2">
        <v>22587.599999999999</v>
      </c>
      <c r="N106" s="2">
        <v>15.1900470746469</v>
      </c>
      <c r="O106" s="2">
        <v>1564</v>
      </c>
      <c r="P106" s="8">
        <v>0.99936102236421698</v>
      </c>
      <c r="Q106" s="2">
        <v>22114.799999999999</v>
      </c>
      <c r="R106" s="2">
        <v>14.139897698209699</v>
      </c>
      <c r="V106" s="1" t="s">
        <v>48</v>
      </c>
      <c r="W106" s="2">
        <v>36</v>
      </c>
      <c r="X106" s="2">
        <v>32</v>
      </c>
      <c r="Y106" s="2">
        <v>32</v>
      </c>
      <c r="Z106" s="3">
        <v>1</v>
      </c>
      <c r="AA106" s="2">
        <v>312</v>
      </c>
      <c r="AB106" s="2">
        <v>9.75</v>
      </c>
      <c r="AC106" s="2">
        <v>32</v>
      </c>
      <c r="AD106" s="2">
        <v>19</v>
      </c>
      <c r="AE106" s="3">
        <v>0.59375</v>
      </c>
      <c r="AF106" s="2">
        <v>138</v>
      </c>
      <c r="AG106" s="2">
        <v>7.2631578947368398</v>
      </c>
      <c r="AH106" s="2">
        <v>32</v>
      </c>
      <c r="AI106" s="3">
        <v>1</v>
      </c>
      <c r="AJ106" s="2">
        <v>330</v>
      </c>
      <c r="AK106" s="2">
        <v>10.3125</v>
      </c>
    </row>
    <row r="107" spans="2:37" x14ac:dyDescent="0.3">
      <c r="B107" s="1">
        <v>3</v>
      </c>
      <c r="C107" s="2">
        <v>2953</v>
      </c>
      <c r="D107" s="2">
        <v>2565</v>
      </c>
      <c r="E107" s="2">
        <v>2079</v>
      </c>
      <c r="F107" s="8">
        <v>0.81052631578947398</v>
      </c>
      <c r="G107" s="2">
        <v>26952</v>
      </c>
      <c r="H107" s="2">
        <v>12.963924</v>
      </c>
      <c r="I107" s="2"/>
      <c r="J107" s="2">
        <v>2574</v>
      </c>
      <c r="K107" s="2">
        <v>2092</v>
      </c>
      <c r="L107" s="8">
        <v>0.81274281274281301</v>
      </c>
      <c r="M107" s="2">
        <v>23452.2</v>
      </c>
      <c r="N107" s="2">
        <v>11.2104206500956</v>
      </c>
      <c r="O107" s="2">
        <v>2290</v>
      </c>
      <c r="P107" s="8">
        <v>0.99608525445845997</v>
      </c>
      <c r="Q107" s="2">
        <v>26306.400000000001</v>
      </c>
      <c r="R107" s="2">
        <v>11.487510917030599</v>
      </c>
      <c r="V107" s="1" t="s">
        <v>51</v>
      </c>
      <c r="W107" s="2">
        <v>55</v>
      </c>
      <c r="X107" s="2">
        <v>47</v>
      </c>
      <c r="Y107" s="2">
        <v>46</v>
      </c>
      <c r="Z107" s="3">
        <v>0.97872340425531901</v>
      </c>
      <c r="AA107" s="2">
        <v>294</v>
      </c>
      <c r="AB107" s="2">
        <v>6.3913039999999999</v>
      </c>
      <c r="AC107" s="2">
        <v>47</v>
      </c>
      <c r="AD107" s="2">
        <v>15</v>
      </c>
      <c r="AE107" s="3">
        <v>0.319148936170213</v>
      </c>
      <c r="AF107" s="2">
        <v>114</v>
      </c>
      <c r="AG107" s="2">
        <v>7.6</v>
      </c>
      <c r="AH107" s="2">
        <v>37</v>
      </c>
      <c r="AI107" s="3">
        <v>1</v>
      </c>
      <c r="AJ107" s="2">
        <v>270</v>
      </c>
      <c r="AK107" s="2">
        <v>7.2972972972973</v>
      </c>
    </row>
    <row r="108" spans="2:37" x14ac:dyDescent="0.3">
      <c r="B108" s="1">
        <v>2</v>
      </c>
      <c r="C108" s="2">
        <v>5175</v>
      </c>
      <c r="D108" s="2">
        <v>4414</v>
      </c>
      <c r="E108" s="2">
        <v>2117</v>
      </c>
      <c r="F108" s="8">
        <v>0.479610330765745</v>
      </c>
      <c r="G108" s="2">
        <v>15621.6</v>
      </c>
      <c r="H108" s="2">
        <v>7.3791209999999996</v>
      </c>
      <c r="I108" s="2"/>
      <c r="J108" s="2">
        <v>4422</v>
      </c>
      <c r="K108" s="2">
        <v>2512</v>
      </c>
      <c r="L108" s="8">
        <v>0.56806874717322497</v>
      </c>
      <c r="M108" s="2">
        <v>19334.400000000001</v>
      </c>
      <c r="N108" s="2">
        <v>7.6968152866241999</v>
      </c>
      <c r="O108" s="2">
        <v>1727</v>
      </c>
      <c r="P108" s="8">
        <v>0.969135802469136</v>
      </c>
      <c r="Q108" s="2">
        <v>12457.800000000099</v>
      </c>
      <c r="R108" s="2">
        <v>7.2135495078170502</v>
      </c>
      <c r="V108" s="1" t="s">
        <v>55</v>
      </c>
      <c r="W108" s="2">
        <v>75</v>
      </c>
      <c r="X108" s="2">
        <v>60</v>
      </c>
      <c r="Y108" s="2">
        <v>46</v>
      </c>
      <c r="Z108" s="3">
        <v>0.76666666666666705</v>
      </c>
      <c r="AA108" s="2">
        <v>276</v>
      </c>
      <c r="AB108" s="2">
        <v>6</v>
      </c>
      <c r="AC108" s="2">
        <v>60</v>
      </c>
      <c r="AD108" s="2">
        <v>12</v>
      </c>
      <c r="AE108" s="3">
        <v>0.2</v>
      </c>
      <c r="AF108" s="2">
        <v>78</v>
      </c>
      <c r="AG108" s="2">
        <v>6.5</v>
      </c>
      <c r="AH108" s="2">
        <v>49</v>
      </c>
      <c r="AI108" s="3">
        <v>1</v>
      </c>
      <c r="AJ108" s="2">
        <v>330</v>
      </c>
      <c r="AK108" s="2">
        <v>6.7346938775510203</v>
      </c>
    </row>
    <row r="109" spans="2:37" x14ac:dyDescent="0.3">
      <c r="B109" s="1">
        <v>1</v>
      </c>
      <c r="C109" s="2">
        <v>8170</v>
      </c>
      <c r="D109" s="2">
        <v>6976</v>
      </c>
      <c r="E109" s="2">
        <v>656</v>
      </c>
      <c r="F109" s="8">
        <v>9.4036697247706399E-2</v>
      </c>
      <c r="G109" s="2">
        <v>3774.6</v>
      </c>
      <c r="H109" s="2">
        <v>5.7539629999999997</v>
      </c>
      <c r="I109" s="2"/>
      <c r="J109" s="2">
        <v>7021</v>
      </c>
      <c r="K109" s="2">
        <v>872</v>
      </c>
      <c r="L109" s="8">
        <v>0.12419883207520301</v>
      </c>
      <c r="M109" s="2">
        <v>4921.2</v>
      </c>
      <c r="N109" s="2">
        <v>5.6435779816513802</v>
      </c>
      <c r="O109" s="2">
        <v>524</v>
      </c>
      <c r="P109" s="8">
        <v>0.94584837545126399</v>
      </c>
      <c r="Q109" s="2">
        <v>2902.1999999999898</v>
      </c>
      <c r="R109" s="2">
        <v>5.53854961832059</v>
      </c>
      <c r="V109" s="1" t="s">
        <v>54</v>
      </c>
      <c r="W109" s="2">
        <v>121</v>
      </c>
      <c r="X109" s="2">
        <v>96</v>
      </c>
      <c r="Y109" s="2">
        <v>31</v>
      </c>
      <c r="Z109" s="3">
        <v>0.32291666666666702</v>
      </c>
      <c r="AA109" s="2">
        <v>186</v>
      </c>
      <c r="AB109" s="2">
        <v>6</v>
      </c>
      <c r="AC109" s="2">
        <v>97</v>
      </c>
      <c r="AD109" s="2">
        <v>6</v>
      </c>
      <c r="AE109" s="3">
        <v>6.18556701030928E-2</v>
      </c>
      <c r="AF109" s="2">
        <v>36</v>
      </c>
      <c r="AG109" s="2">
        <v>6</v>
      </c>
      <c r="AH109" s="2">
        <v>54</v>
      </c>
      <c r="AI109" s="3">
        <v>1</v>
      </c>
      <c r="AJ109" s="2">
        <v>330</v>
      </c>
      <c r="AK109" s="2">
        <v>6.1111111111111098</v>
      </c>
    </row>
    <row r="110" spans="2:37" x14ac:dyDescent="0.3">
      <c r="V110" s="1" t="s">
        <v>62</v>
      </c>
      <c r="W110" s="2">
        <v>209</v>
      </c>
      <c r="X110" s="2">
        <v>162</v>
      </c>
      <c r="Y110" s="2">
        <v>0</v>
      </c>
      <c r="Z110" s="3">
        <v>0</v>
      </c>
      <c r="AA110" s="2">
        <v>0</v>
      </c>
      <c r="AB110" s="2">
        <v>0</v>
      </c>
      <c r="AC110" s="2">
        <v>165</v>
      </c>
      <c r="AD110" s="2">
        <v>7</v>
      </c>
      <c r="AE110" s="3">
        <v>4.2424242424242399E-2</v>
      </c>
      <c r="AF110" s="2">
        <v>42</v>
      </c>
      <c r="AG110" s="2">
        <v>6</v>
      </c>
      <c r="AH110" s="2">
        <v>34</v>
      </c>
      <c r="AI110" s="3">
        <v>1</v>
      </c>
      <c r="AJ110" s="2">
        <v>210</v>
      </c>
      <c r="AK110" s="2">
        <v>6.1764705882352899</v>
      </c>
    </row>
    <row r="111" spans="2:37" x14ac:dyDescent="0.3">
      <c r="V111" s="1" t="s">
        <v>61</v>
      </c>
      <c r="W111" s="2">
        <v>539</v>
      </c>
      <c r="X111" s="2">
        <v>400</v>
      </c>
      <c r="Y111" s="2">
        <v>0</v>
      </c>
      <c r="Z111" s="3">
        <v>0</v>
      </c>
      <c r="AA111" s="2">
        <v>0</v>
      </c>
      <c r="AB111" s="2">
        <v>0</v>
      </c>
      <c r="AC111" s="2">
        <v>401</v>
      </c>
      <c r="AD111" s="2">
        <v>5</v>
      </c>
      <c r="AE111" s="3">
        <v>1.2468827930174601E-2</v>
      </c>
      <c r="AF111" s="2">
        <v>30</v>
      </c>
      <c r="AG111" s="2">
        <v>6</v>
      </c>
      <c r="AH111" s="2">
        <v>24</v>
      </c>
      <c r="AI111" s="3">
        <v>1</v>
      </c>
      <c r="AJ111" s="2">
        <v>144</v>
      </c>
      <c r="AK111" s="2">
        <v>6</v>
      </c>
    </row>
    <row r="112" spans="2:37" x14ac:dyDescent="0.3">
      <c r="V112" s="1" t="s">
        <v>60</v>
      </c>
      <c r="W112" s="2">
        <v>2158</v>
      </c>
      <c r="X112" s="2">
        <v>1543</v>
      </c>
      <c r="Y112" s="2">
        <v>0</v>
      </c>
      <c r="Z112" s="3">
        <v>0</v>
      </c>
      <c r="AA112" s="2">
        <v>0</v>
      </c>
      <c r="AB112" s="2">
        <v>0</v>
      </c>
      <c r="AC112" s="2">
        <v>1546</v>
      </c>
      <c r="AD112" s="2">
        <v>1</v>
      </c>
      <c r="AE112" s="3">
        <v>6.4683053040103498E-4</v>
      </c>
      <c r="AF112" s="2">
        <v>6</v>
      </c>
      <c r="AG112" s="2">
        <v>6</v>
      </c>
      <c r="AH112" s="2">
        <v>3</v>
      </c>
      <c r="AI112" s="3">
        <v>1</v>
      </c>
      <c r="AJ112" s="2">
        <v>18</v>
      </c>
      <c r="AK112" s="2">
        <v>6</v>
      </c>
    </row>
    <row r="118" spans="2:38" x14ac:dyDescent="0.3">
      <c r="B118" s="12" t="s">
        <v>20</v>
      </c>
      <c r="C118" s="70" t="s">
        <v>149</v>
      </c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1"/>
      <c r="O118" s="71"/>
      <c r="P118" s="71"/>
      <c r="Q118" s="71"/>
      <c r="R118" s="72"/>
      <c r="V118" s="12" t="s">
        <v>20</v>
      </c>
      <c r="W118" s="70" t="s">
        <v>70</v>
      </c>
      <c r="X118" s="71"/>
      <c r="Y118" s="71"/>
      <c r="Z118" s="71"/>
      <c r="AA118" s="71"/>
      <c r="AB118" s="71"/>
      <c r="AC118" s="71"/>
      <c r="AD118" s="71"/>
      <c r="AE118" s="71"/>
      <c r="AF118" s="71"/>
      <c r="AG118" s="71"/>
      <c r="AH118" s="71"/>
      <c r="AI118" s="71"/>
      <c r="AJ118" s="71"/>
      <c r="AK118" s="71"/>
      <c r="AL118" s="72"/>
    </row>
    <row r="119" spans="2:38" x14ac:dyDescent="0.3">
      <c r="B119" s="1"/>
      <c r="C119" s="2"/>
      <c r="D119" s="65" t="s">
        <v>73</v>
      </c>
      <c r="E119" s="66"/>
      <c r="F119" s="66"/>
      <c r="G119" s="66"/>
      <c r="H119" s="67"/>
      <c r="I119" s="13" t="s">
        <v>153</v>
      </c>
      <c r="J119" s="65" t="s">
        <v>1</v>
      </c>
      <c r="K119" s="66"/>
      <c r="L119" s="66"/>
      <c r="M119" s="66"/>
      <c r="N119" s="66"/>
      <c r="O119" s="65" t="s">
        <v>156</v>
      </c>
      <c r="P119" s="66"/>
      <c r="Q119" s="66"/>
      <c r="R119" s="67"/>
      <c r="V119" s="1"/>
      <c r="W119" s="1"/>
      <c r="X119" s="65" t="s">
        <v>73</v>
      </c>
      <c r="Y119" s="66"/>
      <c r="Z119" s="66"/>
      <c r="AA119" s="66"/>
      <c r="AB119" s="67"/>
      <c r="AC119" s="13" t="s">
        <v>153</v>
      </c>
      <c r="AD119" s="65" t="s">
        <v>1</v>
      </c>
      <c r="AE119" s="66"/>
      <c r="AF119" s="66"/>
      <c r="AG119" s="66"/>
      <c r="AH119" s="67"/>
      <c r="AI119" s="65" t="s">
        <v>156</v>
      </c>
      <c r="AJ119" s="66"/>
      <c r="AK119" s="66"/>
      <c r="AL119" s="67"/>
    </row>
    <row r="120" spans="2:38" x14ac:dyDescent="0.3">
      <c r="B120" s="1" t="s">
        <v>71</v>
      </c>
      <c r="C120" s="2" t="s">
        <v>5</v>
      </c>
      <c r="D120" s="15" t="s">
        <v>2</v>
      </c>
      <c r="E120" s="15" t="s">
        <v>0</v>
      </c>
      <c r="F120" s="16" t="s">
        <v>3</v>
      </c>
      <c r="G120" s="15" t="s">
        <v>4</v>
      </c>
      <c r="H120" s="15" t="s">
        <v>6</v>
      </c>
      <c r="I120" s="6"/>
      <c r="J120" s="15" t="s">
        <v>2</v>
      </c>
      <c r="K120" s="15" t="s">
        <v>0</v>
      </c>
      <c r="L120" s="16" t="s">
        <v>3</v>
      </c>
      <c r="M120" s="15" t="s">
        <v>4</v>
      </c>
      <c r="N120" s="15" t="s">
        <v>7</v>
      </c>
      <c r="O120" s="15" t="s">
        <v>0</v>
      </c>
      <c r="P120" s="16" t="s">
        <v>3</v>
      </c>
      <c r="Q120" s="15" t="s">
        <v>4</v>
      </c>
      <c r="R120" s="15" t="s">
        <v>7</v>
      </c>
      <c r="V120" s="1" t="s">
        <v>71</v>
      </c>
      <c r="W120" s="1" t="s">
        <v>5</v>
      </c>
      <c r="X120" s="4" t="s">
        <v>2</v>
      </c>
      <c r="Y120" s="4" t="s">
        <v>0</v>
      </c>
      <c r="Z120" s="5" t="s">
        <v>3</v>
      </c>
      <c r="AA120" s="5" t="s">
        <v>4</v>
      </c>
      <c r="AB120" s="6" t="s">
        <v>6</v>
      </c>
      <c r="AC120" s="6" t="s">
        <v>154</v>
      </c>
      <c r="AD120" s="4" t="s">
        <v>2</v>
      </c>
      <c r="AE120" s="4" t="s">
        <v>0</v>
      </c>
      <c r="AF120" s="5" t="s">
        <v>3</v>
      </c>
      <c r="AG120" s="5" t="s">
        <v>4</v>
      </c>
      <c r="AH120" s="6" t="s">
        <v>7</v>
      </c>
      <c r="AI120" s="4" t="s">
        <v>0</v>
      </c>
      <c r="AJ120" s="5" t="s">
        <v>3</v>
      </c>
      <c r="AK120" s="5" t="s">
        <v>4</v>
      </c>
      <c r="AL120" s="6" t="s">
        <v>7</v>
      </c>
    </row>
    <row r="121" spans="2:38" x14ac:dyDescent="0.3">
      <c r="B121" s="1" t="s">
        <v>130</v>
      </c>
      <c r="C121" s="2">
        <v>8</v>
      </c>
      <c r="D121" s="2">
        <v>8</v>
      </c>
      <c r="E121" s="2">
        <v>8</v>
      </c>
      <c r="F121" s="8">
        <v>1</v>
      </c>
      <c r="G121" s="2">
        <v>258</v>
      </c>
      <c r="H121" s="2">
        <v>32.25</v>
      </c>
      <c r="I121" s="2"/>
      <c r="J121" s="2">
        <v>8</v>
      </c>
      <c r="K121" s="2">
        <v>8</v>
      </c>
      <c r="L121" s="8">
        <v>1</v>
      </c>
      <c r="M121" s="2">
        <v>228</v>
      </c>
      <c r="N121" s="2">
        <v>28.5</v>
      </c>
      <c r="O121" s="2">
        <v>8</v>
      </c>
      <c r="P121" s="8">
        <v>1</v>
      </c>
      <c r="Q121" s="2">
        <v>270</v>
      </c>
      <c r="R121" s="2">
        <v>33.75</v>
      </c>
      <c r="V121" s="1" t="s">
        <v>150</v>
      </c>
      <c r="W121" s="2">
        <v>37</v>
      </c>
      <c r="X121" s="2">
        <v>37</v>
      </c>
      <c r="Y121" s="2">
        <v>36</v>
      </c>
      <c r="Z121" s="3">
        <v>0.97297297297297303</v>
      </c>
      <c r="AA121" s="2">
        <v>338.4</v>
      </c>
      <c r="AB121" s="2">
        <v>9.4</v>
      </c>
      <c r="AC121" s="2">
        <v>17</v>
      </c>
      <c r="AD121" s="2">
        <v>37</v>
      </c>
      <c r="AE121" s="2">
        <v>36</v>
      </c>
      <c r="AF121" s="3">
        <v>0.97297297297297303</v>
      </c>
      <c r="AG121" s="2">
        <v>541.20000000000005</v>
      </c>
      <c r="AH121" s="2">
        <v>15.033333333333299</v>
      </c>
      <c r="AI121" s="2">
        <v>36</v>
      </c>
      <c r="AJ121" s="3">
        <v>1</v>
      </c>
      <c r="AK121" s="2">
        <v>520.20000000000005</v>
      </c>
      <c r="AL121" s="2">
        <v>14.45</v>
      </c>
    </row>
    <row r="122" spans="2:38" x14ac:dyDescent="0.3">
      <c r="B122" s="1" t="s">
        <v>138</v>
      </c>
      <c r="C122" s="2">
        <v>1</v>
      </c>
      <c r="D122" s="2">
        <v>1</v>
      </c>
      <c r="E122" s="2">
        <v>1</v>
      </c>
      <c r="F122" s="8">
        <v>1</v>
      </c>
      <c r="G122" s="2">
        <v>3</v>
      </c>
      <c r="H122" s="2">
        <v>3</v>
      </c>
      <c r="I122" s="2"/>
      <c r="J122" s="2">
        <v>1</v>
      </c>
      <c r="K122" s="2">
        <v>1</v>
      </c>
      <c r="L122" s="8">
        <v>1</v>
      </c>
      <c r="M122" s="2">
        <v>24</v>
      </c>
      <c r="N122" s="2">
        <v>24</v>
      </c>
      <c r="O122" s="2">
        <v>1</v>
      </c>
      <c r="P122" s="8">
        <v>1</v>
      </c>
      <c r="Q122" s="2">
        <v>36</v>
      </c>
      <c r="R122" s="2">
        <v>36</v>
      </c>
      <c r="V122" s="1" t="s">
        <v>151</v>
      </c>
      <c r="W122" s="2">
        <v>417</v>
      </c>
      <c r="X122" s="2">
        <v>397</v>
      </c>
      <c r="Y122" s="2">
        <v>374</v>
      </c>
      <c r="Z122" s="3">
        <v>0.94206549118387894</v>
      </c>
      <c r="AA122" s="2">
        <v>4000.8</v>
      </c>
      <c r="AB122" s="2">
        <v>10.697326</v>
      </c>
      <c r="AC122" s="2">
        <v>14</v>
      </c>
      <c r="AD122" s="2">
        <v>398</v>
      </c>
      <c r="AE122" s="2">
        <v>335</v>
      </c>
      <c r="AF122" s="3">
        <v>0.84170854271356799</v>
      </c>
      <c r="AG122" s="2">
        <v>4244.3999999999996</v>
      </c>
      <c r="AH122" s="2">
        <v>12.6698507462687</v>
      </c>
      <c r="AI122" s="2">
        <v>292</v>
      </c>
      <c r="AJ122" s="3">
        <v>0.96369636963696403</v>
      </c>
      <c r="AK122" s="2">
        <v>4032.6</v>
      </c>
      <c r="AL122" s="2">
        <v>13.810273972602699</v>
      </c>
    </row>
    <row r="123" spans="2:38" x14ac:dyDescent="0.3">
      <c r="B123" s="1" t="s">
        <v>141</v>
      </c>
      <c r="C123" s="2">
        <v>4</v>
      </c>
      <c r="D123" s="2">
        <v>4</v>
      </c>
      <c r="E123" s="2">
        <v>4</v>
      </c>
      <c r="F123" s="8">
        <v>1</v>
      </c>
      <c r="G123" s="2">
        <v>108</v>
      </c>
      <c r="H123" s="2">
        <v>27</v>
      </c>
      <c r="I123" s="2"/>
      <c r="J123" s="2">
        <v>4</v>
      </c>
      <c r="K123" s="2">
        <v>4</v>
      </c>
      <c r="L123" s="8">
        <v>1</v>
      </c>
      <c r="M123" s="2">
        <v>84</v>
      </c>
      <c r="N123" s="2">
        <v>21</v>
      </c>
      <c r="O123" s="2">
        <v>4</v>
      </c>
      <c r="P123" s="8">
        <v>1</v>
      </c>
      <c r="Q123" s="2">
        <v>114</v>
      </c>
      <c r="R123" s="2">
        <v>28.5</v>
      </c>
      <c r="V123" s="1" t="s">
        <v>152</v>
      </c>
      <c r="W123" s="2">
        <v>1616</v>
      </c>
      <c r="X123" s="2">
        <v>1446</v>
      </c>
      <c r="Y123" s="2">
        <v>1341</v>
      </c>
      <c r="Z123" s="3">
        <v>0.92738589211618305</v>
      </c>
      <c r="AA123" s="2">
        <v>11778.6</v>
      </c>
      <c r="AB123" s="2">
        <v>8.7834450000000004</v>
      </c>
      <c r="AC123" s="2">
        <v>11</v>
      </c>
      <c r="AD123" s="2">
        <v>1449</v>
      </c>
      <c r="AE123" s="2">
        <v>1049</v>
      </c>
      <c r="AF123" s="3">
        <v>0.72394755003450695</v>
      </c>
      <c r="AG123" s="2">
        <v>10459.799999999999</v>
      </c>
      <c r="AH123" s="2">
        <v>9.9712106768350797</v>
      </c>
      <c r="AI123" s="2">
        <v>777</v>
      </c>
      <c r="AJ123" s="3">
        <v>0.99233716475095801</v>
      </c>
      <c r="AK123" s="2">
        <v>10087.799999999999</v>
      </c>
      <c r="AL123" s="2">
        <v>12.983011583011599</v>
      </c>
    </row>
    <row r="124" spans="2:38" x14ac:dyDescent="0.3">
      <c r="B124" s="1" t="s">
        <v>143</v>
      </c>
      <c r="C124" s="2">
        <v>3</v>
      </c>
      <c r="D124" s="2">
        <v>3</v>
      </c>
      <c r="E124" s="2">
        <v>3</v>
      </c>
      <c r="F124" s="8">
        <v>1</v>
      </c>
      <c r="G124" s="2">
        <v>35.4</v>
      </c>
      <c r="H124" s="2">
        <v>11.8</v>
      </c>
      <c r="I124" s="2"/>
      <c r="J124" s="2">
        <v>3</v>
      </c>
      <c r="K124" s="2">
        <v>3</v>
      </c>
      <c r="L124" s="8">
        <v>1</v>
      </c>
      <c r="M124" s="2">
        <v>72</v>
      </c>
      <c r="N124" s="2">
        <v>24</v>
      </c>
      <c r="O124" s="2">
        <v>3</v>
      </c>
      <c r="P124" s="8">
        <v>1</v>
      </c>
      <c r="Q124" s="2">
        <v>108</v>
      </c>
      <c r="R124" s="2">
        <v>36</v>
      </c>
    </row>
    <row r="125" spans="2:38" x14ac:dyDescent="0.3">
      <c r="B125" s="1" t="s">
        <v>124</v>
      </c>
      <c r="C125" s="2">
        <v>4</v>
      </c>
      <c r="D125" s="2">
        <v>4</v>
      </c>
      <c r="E125" s="2">
        <v>4</v>
      </c>
      <c r="F125" s="8">
        <v>1</v>
      </c>
      <c r="G125" s="2">
        <v>144</v>
      </c>
      <c r="H125" s="2">
        <v>36</v>
      </c>
      <c r="I125" s="2"/>
      <c r="J125" s="2">
        <v>4</v>
      </c>
      <c r="K125" s="2">
        <v>4</v>
      </c>
      <c r="L125" s="8">
        <v>1</v>
      </c>
      <c r="M125" s="2">
        <v>102</v>
      </c>
      <c r="N125" s="2">
        <v>25.5</v>
      </c>
      <c r="O125" s="2">
        <v>4</v>
      </c>
      <c r="P125" s="8">
        <v>1</v>
      </c>
      <c r="Q125" s="2">
        <v>126</v>
      </c>
      <c r="R125" s="2">
        <v>31.5</v>
      </c>
    </row>
    <row r="126" spans="2:38" x14ac:dyDescent="0.3">
      <c r="B126" s="1" t="s">
        <v>139</v>
      </c>
      <c r="C126" s="2">
        <v>5</v>
      </c>
      <c r="D126" s="2">
        <v>1</v>
      </c>
      <c r="E126" s="2">
        <v>0</v>
      </c>
      <c r="F126" s="8">
        <v>0</v>
      </c>
      <c r="G126" s="2">
        <v>0</v>
      </c>
      <c r="H126" s="2">
        <v>0</v>
      </c>
      <c r="I126" s="2"/>
      <c r="J126" s="2">
        <v>2</v>
      </c>
      <c r="K126" s="2">
        <v>2</v>
      </c>
      <c r="L126" s="8">
        <v>1</v>
      </c>
      <c r="M126" s="2">
        <v>24</v>
      </c>
      <c r="N126" s="2">
        <v>12</v>
      </c>
      <c r="O126" s="2">
        <v>2</v>
      </c>
      <c r="P126" s="8">
        <v>1</v>
      </c>
      <c r="Q126" s="2">
        <v>66</v>
      </c>
      <c r="R126" s="2">
        <v>33</v>
      </c>
    </row>
    <row r="127" spans="2:38" x14ac:dyDescent="0.3">
      <c r="B127" s="1" t="s">
        <v>117</v>
      </c>
      <c r="C127" s="2">
        <v>12</v>
      </c>
      <c r="D127" s="2">
        <v>11</v>
      </c>
      <c r="E127" s="2">
        <v>11</v>
      </c>
      <c r="F127" s="8">
        <v>1</v>
      </c>
      <c r="G127" s="2">
        <v>55.8</v>
      </c>
      <c r="H127" s="2">
        <v>5.0727270000000004</v>
      </c>
      <c r="I127" s="2"/>
      <c r="J127" s="2">
        <v>11</v>
      </c>
      <c r="K127" s="2">
        <v>11</v>
      </c>
      <c r="L127" s="8">
        <v>1</v>
      </c>
      <c r="M127" s="2">
        <v>198</v>
      </c>
      <c r="N127" s="2">
        <v>18</v>
      </c>
      <c r="O127" s="2">
        <v>11</v>
      </c>
      <c r="P127" s="8">
        <v>1</v>
      </c>
      <c r="Q127" s="2">
        <v>228</v>
      </c>
      <c r="R127" s="2">
        <v>20.727272727272702</v>
      </c>
    </row>
    <row r="128" spans="2:38" x14ac:dyDescent="0.3">
      <c r="B128" s="1" t="s">
        <v>131</v>
      </c>
      <c r="C128" s="2">
        <v>10</v>
      </c>
      <c r="D128" s="2">
        <v>10</v>
      </c>
      <c r="E128" s="2">
        <v>10</v>
      </c>
      <c r="F128" s="8">
        <v>1</v>
      </c>
      <c r="G128" s="2">
        <v>270</v>
      </c>
      <c r="H128" s="2">
        <v>27</v>
      </c>
      <c r="I128" s="2"/>
      <c r="J128" s="2">
        <v>10</v>
      </c>
      <c r="K128" s="2">
        <v>10</v>
      </c>
      <c r="L128" s="8">
        <v>1</v>
      </c>
      <c r="M128" s="2">
        <v>252</v>
      </c>
      <c r="N128" s="2">
        <v>25.2</v>
      </c>
      <c r="O128" s="2">
        <v>10</v>
      </c>
      <c r="P128" s="8">
        <v>1</v>
      </c>
      <c r="Q128" s="2">
        <v>228</v>
      </c>
      <c r="R128" s="2">
        <v>22.8</v>
      </c>
    </row>
    <row r="129" spans="2:38" x14ac:dyDescent="0.3">
      <c r="B129" s="1" t="s">
        <v>101</v>
      </c>
      <c r="C129" s="2">
        <v>21</v>
      </c>
      <c r="D129" s="2">
        <v>21</v>
      </c>
      <c r="E129" s="2">
        <v>21</v>
      </c>
      <c r="F129" s="8">
        <v>1</v>
      </c>
      <c r="G129" s="2">
        <v>435.6</v>
      </c>
      <c r="H129" s="2">
        <v>20.742857000000001</v>
      </c>
      <c r="I129" s="2"/>
      <c r="J129" s="2">
        <v>21</v>
      </c>
      <c r="K129" s="2">
        <v>21</v>
      </c>
      <c r="L129" s="8">
        <v>1</v>
      </c>
      <c r="M129" s="2">
        <v>447</v>
      </c>
      <c r="N129" s="2">
        <v>21.285714285714299</v>
      </c>
      <c r="O129" s="2">
        <v>21</v>
      </c>
      <c r="P129" s="8">
        <v>1</v>
      </c>
      <c r="Q129" s="2">
        <v>481.2</v>
      </c>
      <c r="R129" s="2">
        <v>22.9142857142857</v>
      </c>
    </row>
    <row r="130" spans="2:38" x14ac:dyDescent="0.3">
      <c r="B130" s="1" t="s">
        <v>129</v>
      </c>
      <c r="C130" s="2">
        <v>25</v>
      </c>
      <c r="D130" s="2">
        <v>21</v>
      </c>
      <c r="E130" s="2">
        <v>15</v>
      </c>
      <c r="F130" s="8">
        <v>0.71428571428571397</v>
      </c>
      <c r="G130" s="2">
        <v>68.400000000000006</v>
      </c>
      <c r="H130" s="2">
        <v>4.5599999999999996</v>
      </c>
      <c r="I130" s="2"/>
      <c r="J130" s="2">
        <v>21</v>
      </c>
      <c r="K130" s="2">
        <v>14</v>
      </c>
      <c r="L130" s="8">
        <v>0.66666666666666696</v>
      </c>
      <c r="M130" s="2">
        <v>153</v>
      </c>
      <c r="N130" s="2">
        <v>10.9285714285714</v>
      </c>
      <c r="O130" s="2">
        <v>21</v>
      </c>
      <c r="P130" s="8">
        <v>1</v>
      </c>
      <c r="Q130" s="2">
        <v>354.6</v>
      </c>
      <c r="R130" s="2">
        <v>16.8857142857143</v>
      </c>
    </row>
    <row r="131" spans="2:38" x14ac:dyDescent="0.3">
      <c r="B131" s="1" t="s">
        <v>113</v>
      </c>
      <c r="C131" s="2">
        <v>11</v>
      </c>
      <c r="D131" s="2">
        <v>11</v>
      </c>
      <c r="E131" s="2">
        <v>11</v>
      </c>
      <c r="F131" s="8">
        <v>1</v>
      </c>
      <c r="G131" s="2">
        <v>142.80000000000001</v>
      </c>
      <c r="H131" s="2">
        <v>12.981818000000001</v>
      </c>
      <c r="I131" s="2"/>
      <c r="J131" s="2">
        <v>11</v>
      </c>
      <c r="K131" s="2">
        <v>11</v>
      </c>
      <c r="L131" s="8">
        <v>1</v>
      </c>
      <c r="M131" s="2">
        <v>201.6</v>
      </c>
      <c r="N131" s="2">
        <v>18.3272727272727</v>
      </c>
      <c r="O131" s="2">
        <v>11</v>
      </c>
      <c r="P131" s="8">
        <v>1</v>
      </c>
      <c r="Q131" s="2">
        <v>178.2</v>
      </c>
      <c r="R131" s="2">
        <v>16.2</v>
      </c>
    </row>
    <row r="132" spans="2:38" x14ac:dyDescent="0.3">
      <c r="B132" s="1" t="s">
        <v>116</v>
      </c>
      <c r="C132" s="2">
        <v>7</v>
      </c>
      <c r="D132" s="2">
        <v>5</v>
      </c>
      <c r="E132" s="2">
        <v>3</v>
      </c>
      <c r="F132" s="8">
        <v>0.6</v>
      </c>
      <c r="G132" s="2">
        <v>24.6</v>
      </c>
      <c r="H132" s="2">
        <v>8.1999999999999993</v>
      </c>
      <c r="I132" s="2"/>
      <c r="J132" s="2">
        <v>5</v>
      </c>
      <c r="K132" s="2">
        <v>4</v>
      </c>
      <c r="L132" s="8">
        <v>0.8</v>
      </c>
      <c r="M132" s="2">
        <v>57</v>
      </c>
      <c r="N132" s="2">
        <v>14.25</v>
      </c>
      <c r="O132" s="2">
        <v>5</v>
      </c>
      <c r="P132" s="8">
        <v>1</v>
      </c>
      <c r="Q132" s="2">
        <v>72</v>
      </c>
      <c r="R132" s="2">
        <v>14.4</v>
      </c>
    </row>
    <row r="133" spans="2:38" x14ac:dyDescent="0.3">
      <c r="B133" s="1" t="s">
        <v>89</v>
      </c>
      <c r="C133" s="2">
        <v>99</v>
      </c>
      <c r="D133" s="2">
        <v>78</v>
      </c>
      <c r="E133" s="2">
        <v>33</v>
      </c>
      <c r="F133" s="8">
        <v>0.42307692307692302</v>
      </c>
      <c r="G133" s="2">
        <v>194.4</v>
      </c>
      <c r="H133" s="2">
        <v>5.8909089999999997</v>
      </c>
      <c r="I133" s="2"/>
      <c r="J133" s="2">
        <v>77</v>
      </c>
      <c r="K133" s="2">
        <v>31</v>
      </c>
      <c r="L133" s="8">
        <v>0.40259740259740301</v>
      </c>
      <c r="M133" s="2">
        <v>244.2</v>
      </c>
      <c r="N133" s="2">
        <v>7.8774193548387101</v>
      </c>
      <c r="O133" s="2">
        <v>58</v>
      </c>
      <c r="P133" s="8">
        <v>1</v>
      </c>
      <c r="Q133" s="2">
        <v>677.4</v>
      </c>
      <c r="R133" s="2">
        <v>11.6793103448276</v>
      </c>
    </row>
    <row r="134" spans="2:38" x14ac:dyDescent="0.3">
      <c r="B134" s="1" t="s">
        <v>119</v>
      </c>
      <c r="C134" s="2">
        <v>12</v>
      </c>
      <c r="D134" s="2">
        <v>12</v>
      </c>
      <c r="E134" s="2">
        <v>12</v>
      </c>
      <c r="F134" s="8">
        <v>1</v>
      </c>
      <c r="G134" s="2">
        <v>91.2</v>
      </c>
      <c r="H134" s="2">
        <v>7.6</v>
      </c>
      <c r="I134" s="2"/>
      <c r="J134" s="2">
        <v>12</v>
      </c>
      <c r="K134" s="2">
        <v>12</v>
      </c>
      <c r="L134" s="8">
        <v>1</v>
      </c>
      <c r="M134" s="2">
        <v>153.6</v>
      </c>
      <c r="N134" s="2">
        <v>12.8</v>
      </c>
      <c r="O134" s="2">
        <v>12</v>
      </c>
      <c r="P134" s="8">
        <v>1</v>
      </c>
      <c r="Q134" s="2">
        <v>147.6</v>
      </c>
      <c r="R134" s="2">
        <v>12.3</v>
      </c>
    </row>
    <row r="135" spans="2:38" x14ac:dyDescent="0.3">
      <c r="B135" s="1" t="s">
        <v>90</v>
      </c>
      <c r="C135" s="2">
        <v>42</v>
      </c>
      <c r="D135" s="2">
        <v>38</v>
      </c>
      <c r="E135" s="2">
        <v>36</v>
      </c>
      <c r="F135" s="8">
        <v>0.94736842105263197</v>
      </c>
      <c r="G135" s="2">
        <v>195.6</v>
      </c>
      <c r="H135" s="2">
        <v>5.4333330000000002</v>
      </c>
      <c r="I135" s="2"/>
      <c r="J135" s="2">
        <v>37</v>
      </c>
      <c r="K135" s="2">
        <v>29</v>
      </c>
      <c r="L135" s="8">
        <v>0.78378378378378399</v>
      </c>
      <c r="M135" s="2">
        <v>378</v>
      </c>
      <c r="N135" s="2">
        <v>13.034482758620699</v>
      </c>
      <c r="O135" s="2">
        <v>29</v>
      </c>
      <c r="P135" s="8">
        <v>1</v>
      </c>
      <c r="Q135" s="2">
        <v>347.4</v>
      </c>
      <c r="R135" s="2">
        <v>11.979310344827599</v>
      </c>
      <c r="V135" s="12" t="s">
        <v>8</v>
      </c>
      <c r="W135" s="70" t="s">
        <v>70</v>
      </c>
      <c r="X135" s="71"/>
      <c r="Y135" s="71"/>
      <c r="Z135" s="71"/>
      <c r="AA135" s="71"/>
      <c r="AB135" s="71"/>
      <c r="AC135" s="71"/>
      <c r="AD135" s="71"/>
      <c r="AE135" s="71"/>
      <c r="AF135" s="71"/>
      <c r="AG135" s="71"/>
      <c r="AH135" s="71"/>
      <c r="AI135" s="71"/>
      <c r="AJ135" s="71"/>
      <c r="AK135" s="71"/>
      <c r="AL135" s="72"/>
    </row>
    <row r="136" spans="2:38" x14ac:dyDescent="0.3">
      <c r="B136" s="1" t="s">
        <v>109</v>
      </c>
      <c r="C136" s="2">
        <v>83</v>
      </c>
      <c r="D136" s="2">
        <v>74</v>
      </c>
      <c r="E136" s="2">
        <v>74</v>
      </c>
      <c r="F136" s="8">
        <v>1</v>
      </c>
      <c r="G136" s="2">
        <v>1502.4</v>
      </c>
      <c r="H136" s="2">
        <v>20.302702</v>
      </c>
      <c r="I136" s="2"/>
      <c r="J136" s="2">
        <v>74</v>
      </c>
      <c r="K136" s="2">
        <v>72</v>
      </c>
      <c r="L136" s="8">
        <v>0.97297297297297303</v>
      </c>
      <c r="M136" s="2">
        <v>1101</v>
      </c>
      <c r="N136" s="2">
        <v>15.2916666666667</v>
      </c>
      <c r="O136" s="2">
        <v>66</v>
      </c>
      <c r="P136" s="8">
        <v>1</v>
      </c>
      <c r="Q136" s="2">
        <v>1128</v>
      </c>
      <c r="R136" s="2">
        <v>17.090909090909101</v>
      </c>
      <c r="V136" s="1"/>
      <c r="W136" s="1"/>
      <c r="X136" s="65" t="s">
        <v>73</v>
      </c>
      <c r="Y136" s="66"/>
      <c r="Z136" s="66"/>
      <c r="AA136" s="66"/>
      <c r="AB136" s="67"/>
      <c r="AC136" s="13" t="s">
        <v>153</v>
      </c>
      <c r="AD136" s="65" t="s">
        <v>1</v>
      </c>
      <c r="AE136" s="66"/>
      <c r="AF136" s="66"/>
      <c r="AG136" s="66"/>
      <c r="AH136" s="67"/>
      <c r="AI136" s="65" t="s">
        <v>156</v>
      </c>
      <c r="AJ136" s="66"/>
      <c r="AK136" s="66"/>
      <c r="AL136" s="67"/>
    </row>
    <row r="137" spans="2:38" x14ac:dyDescent="0.3">
      <c r="B137" s="1" t="s">
        <v>127</v>
      </c>
      <c r="C137" s="2">
        <v>23</v>
      </c>
      <c r="D137" s="2">
        <v>22</v>
      </c>
      <c r="E137" s="2">
        <v>15</v>
      </c>
      <c r="F137" s="8">
        <v>0.68181818181818199</v>
      </c>
      <c r="G137" s="2">
        <v>85.2</v>
      </c>
      <c r="H137" s="2">
        <v>5.68</v>
      </c>
      <c r="I137" s="2"/>
      <c r="J137" s="2">
        <v>22</v>
      </c>
      <c r="K137" s="2">
        <v>18</v>
      </c>
      <c r="L137" s="8">
        <v>0.81818181818181801</v>
      </c>
      <c r="M137" s="2">
        <v>270</v>
      </c>
      <c r="N137" s="2">
        <v>15</v>
      </c>
      <c r="O137" s="2">
        <v>22</v>
      </c>
      <c r="P137" s="8">
        <v>1</v>
      </c>
      <c r="Q137" s="2">
        <v>297</v>
      </c>
      <c r="R137" s="2">
        <v>13.5</v>
      </c>
      <c r="V137" s="1" t="s">
        <v>71</v>
      </c>
      <c r="W137" s="1" t="s">
        <v>5</v>
      </c>
      <c r="X137" s="4" t="s">
        <v>2</v>
      </c>
      <c r="Y137" s="4" t="s">
        <v>0</v>
      </c>
      <c r="Z137" s="5" t="s">
        <v>3</v>
      </c>
      <c r="AA137" s="5" t="s">
        <v>4</v>
      </c>
      <c r="AB137" s="6" t="s">
        <v>6</v>
      </c>
      <c r="AC137" s="6"/>
      <c r="AD137" s="4" t="s">
        <v>2</v>
      </c>
      <c r="AE137" s="4" t="s">
        <v>0</v>
      </c>
      <c r="AF137" s="5" t="s">
        <v>3</v>
      </c>
      <c r="AG137" s="5" t="s">
        <v>4</v>
      </c>
      <c r="AH137" s="6" t="s">
        <v>7</v>
      </c>
      <c r="AI137" s="4" t="s">
        <v>0</v>
      </c>
      <c r="AJ137" s="5" t="s">
        <v>3</v>
      </c>
      <c r="AK137" s="5" t="s">
        <v>4</v>
      </c>
      <c r="AL137" s="6" t="s">
        <v>7</v>
      </c>
    </row>
    <row r="138" spans="2:38" x14ac:dyDescent="0.3">
      <c r="B138" s="1" t="s">
        <v>108</v>
      </c>
      <c r="C138" s="2">
        <v>57</v>
      </c>
      <c r="D138" s="2">
        <v>51</v>
      </c>
      <c r="E138" s="2">
        <v>51</v>
      </c>
      <c r="F138" s="8">
        <v>1</v>
      </c>
      <c r="G138" s="2">
        <v>674.4</v>
      </c>
      <c r="H138" s="2">
        <v>13.223528999999999</v>
      </c>
      <c r="I138" s="2"/>
      <c r="J138" s="2">
        <v>51</v>
      </c>
      <c r="K138" s="2">
        <v>46</v>
      </c>
      <c r="L138" s="8">
        <v>0.90196078431372595</v>
      </c>
      <c r="M138" s="2">
        <v>747</v>
      </c>
      <c r="N138" s="2">
        <v>16.239130434782599</v>
      </c>
      <c r="O138" s="2">
        <v>44</v>
      </c>
      <c r="P138" s="8">
        <v>0.97777777777777797</v>
      </c>
      <c r="Q138" s="2">
        <v>671.4</v>
      </c>
      <c r="R138" s="2">
        <v>15.259090909090901</v>
      </c>
      <c r="V138" s="1" t="s">
        <v>150</v>
      </c>
      <c r="W138" s="2">
        <v>956</v>
      </c>
      <c r="X138" s="2">
        <v>892</v>
      </c>
      <c r="Y138" s="2">
        <v>890</v>
      </c>
      <c r="Z138" s="3">
        <v>0.99775784753363195</v>
      </c>
      <c r="AA138" s="2">
        <v>19032.599999999999</v>
      </c>
      <c r="AB138" s="2">
        <v>21.384943</v>
      </c>
      <c r="AC138" s="2">
        <v>28</v>
      </c>
      <c r="AD138" s="2">
        <v>897</v>
      </c>
      <c r="AE138" s="2">
        <v>892</v>
      </c>
      <c r="AF138" s="3">
        <v>0.99442586399108102</v>
      </c>
      <c r="AG138" s="2">
        <v>14279.4</v>
      </c>
      <c r="AH138" s="2">
        <v>16.008295964125601</v>
      </c>
      <c r="AI138" s="2">
        <v>865</v>
      </c>
      <c r="AJ138" s="3">
        <v>0.99197247706421998</v>
      </c>
      <c r="AK138" s="2">
        <v>11953.8</v>
      </c>
      <c r="AL138" s="2">
        <v>13.8194219653179</v>
      </c>
    </row>
    <row r="139" spans="2:38" x14ac:dyDescent="0.3">
      <c r="B139" s="1" t="s">
        <v>118</v>
      </c>
      <c r="C139" s="2">
        <v>163</v>
      </c>
      <c r="D139" s="2">
        <v>156</v>
      </c>
      <c r="E139" s="2">
        <v>153</v>
      </c>
      <c r="F139" s="8">
        <v>0.98076923076923095</v>
      </c>
      <c r="G139" s="2">
        <v>1471.2</v>
      </c>
      <c r="H139" s="2">
        <v>9.6156860000000002</v>
      </c>
      <c r="I139" s="2"/>
      <c r="J139" s="2">
        <v>156</v>
      </c>
      <c r="K139" s="2">
        <v>138</v>
      </c>
      <c r="L139" s="8">
        <v>0.88461538461538503</v>
      </c>
      <c r="M139" s="2">
        <v>1485</v>
      </c>
      <c r="N139" s="2">
        <v>10.7608695652174</v>
      </c>
      <c r="O139" s="2">
        <v>119</v>
      </c>
      <c r="P139" s="8">
        <v>0.95967741935483897</v>
      </c>
      <c r="Q139" s="2">
        <v>1288.2</v>
      </c>
      <c r="R139" s="2">
        <v>10.8252100840336</v>
      </c>
      <c r="V139" s="1" t="s">
        <v>151</v>
      </c>
      <c r="W139" s="2">
        <v>3256</v>
      </c>
      <c r="X139" s="2">
        <v>2945</v>
      </c>
      <c r="Y139" s="2">
        <v>2740</v>
      </c>
      <c r="Z139" s="3">
        <v>0.93039049235993199</v>
      </c>
      <c r="AA139" s="2">
        <v>42886.2</v>
      </c>
      <c r="AB139" s="2">
        <v>15.651897</v>
      </c>
      <c r="AC139" s="2">
        <v>18</v>
      </c>
      <c r="AD139" s="2">
        <v>2956</v>
      </c>
      <c r="AE139" s="2">
        <v>2813</v>
      </c>
      <c r="AF139" s="3">
        <v>0.95162381596752399</v>
      </c>
      <c r="AG139" s="2">
        <v>40415.4</v>
      </c>
      <c r="AH139" s="2">
        <v>14.3673658016353</v>
      </c>
      <c r="AI139" s="2">
        <v>2558</v>
      </c>
      <c r="AJ139" s="3">
        <v>0.99649396182313998</v>
      </c>
      <c r="AK139" s="2">
        <v>37851</v>
      </c>
      <c r="AL139" s="2">
        <v>14.7971071149335</v>
      </c>
    </row>
    <row r="140" spans="2:38" x14ac:dyDescent="0.3">
      <c r="B140" s="1" t="s">
        <v>78</v>
      </c>
      <c r="C140" s="2">
        <v>541</v>
      </c>
      <c r="D140" s="2">
        <v>493</v>
      </c>
      <c r="E140" s="2">
        <v>482</v>
      </c>
      <c r="F140" s="8">
        <v>0.977687626774848</v>
      </c>
      <c r="G140" s="2">
        <v>4248</v>
      </c>
      <c r="H140" s="2">
        <v>8.8132780000000004</v>
      </c>
      <c r="I140" s="2"/>
      <c r="J140" s="2">
        <v>494</v>
      </c>
      <c r="K140" s="2">
        <v>420</v>
      </c>
      <c r="L140" s="8">
        <v>0.85020242914979804</v>
      </c>
      <c r="M140" s="2">
        <v>4372.8</v>
      </c>
      <c r="N140" s="2">
        <v>10.411428571428599</v>
      </c>
      <c r="O140" s="2">
        <v>328</v>
      </c>
      <c r="P140" s="8">
        <v>0.99696048632218803</v>
      </c>
      <c r="Q140" s="2">
        <v>4414.2</v>
      </c>
      <c r="R140" s="2">
        <v>13.457926829268301</v>
      </c>
      <c r="V140" s="1" t="s">
        <v>152</v>
      </c>
      <c r="W140" s="2">
        <v>2254</v>
      </c>
      <c r="X140" s="2">
        <v>1929</v>
      </c>
      <c r="Y140" s="2">
        <v>1264</v>
      </c>
      <c r="Z140" s="3">
        <v>0.65526179367547999</v>
      </c>
      <c r="AA140" s="2">
        <v>10858.2</v>
      </c>
      <c r="AB140" s="2">
        <v>8.5903480000000005</v>
      </c>
      <c r="AC140" s="2">
        <v>6</v>
      </c>
      <c r="AD140" s="2">
        <v>1937</v>
      </c>
      <c r="AE140" s="2">
        <v>1517</v>
      </c>
      <c r="AF140" s="3">
        <v>0.78316985028394404</v>
      </c>
      <c r="AG140" s="2">
        <v>15254.4</v>
      </c>
      <c r="AH140" s="2">
        <v>10.055636123928799</v>
      </c>
      <c r="AI140" s="2">
        <v>1160</v>
      </c>
      <c r="AJ140" s="3">
        <v>0.98471986417656998</v>
      </c>
      <c r="AK140" s="2">
        <v>13477.2</v>
      </c>
      <c r="AL140" s="2">
        <v>11.618275862069</v>
      </c>
    </row>
    <row r="141" spans="2:38" x14ac:dyDescent="0.3">
      <c r="B141" s="1" t="s">
        <v>135</v>
      </c>
      <c r="C141" s="2">
        <v>8</v>
      </c>
      <c r="D141" s="2">
        <v>8</v>
      </c>
      <c r="E141" s="2">
        <v>8</v>
      </c>
      <c r="F141" s="8">
        <v>1</v>
      </c>
      <c r="G141" s="2">
        <v>54</v>
      </c>
      <c r="H141" s="2">
        <v>6.75</v>
      </c>
      <c r="I141" s="2"/>
      <c r="J141" s="2">
        <v>8</v>
      </c>
      <c r="K141" s="2">
        <v>8</v>
      </c>
      <c r="L141" s="8">
        <v>1</v>
      </c>
      <c r="M141" s="2">
        <v>93</v>
      </c>
      <c r="N141" s="2">
        <v>11.625</v>
      </c>
      <c r="O141" s="2">
        <v>8</v>
      </c>
      <c r="P141" s="8">
        <v>1</v>
      </c>
      <c r="Q141" s="2">
        <v>56.4</v>
      </c>
      <c r="R141" s="2">
        <v>7.05</v>
      </c>
    </row>
    <row r="142" spans="2:38" x14ac:dyDescent="0.3">
      <c r="B142" s="1" t="s">
        <v>122</v>
      </c>
      <c r="C142" s="2">
        <v>197</v>
      </c>
      <c r="D142" s="2">
        <v>172</v>
      </c>
      <c r="E142" s="2">
        <v>121</v>
      </c>
      <c r="F142" s="8">
        <v>0.70348837209302295</v>
      </c>
      <c r="G142" s="2">
        <v>631.79999999999995</v>
      </c>
      <c r="H142" s="2">
        <v>5.2214869999999998</v>
      </c>
      <c r="I142" s="2"/>
      <c r="J142" s="2">
        <v>173</v>
      </c>
      <c r="K142" s="2">
        <v>117</v>
      </c>
      <c r="L142" s="8">
        <v>0.67630057803468202</v>
      </c>
      <c r="M142" s="2">
        <v>1045.2</v>
      </c>
      <c r="N142" s="2">
        <v>8.93333333333333</v>
      </c>
      <c r="O142" s="2">
        <v>82</v>
      </c>
      <c r="P142" s="8">
        <v>0.98795180722891596</v>
      </c>
      <c r="Q142" s="2">
        <v>813</v>
      </c>
      <c r="R142" s="2">
        <v>9.9146341463414593</v>
      </c>
    </row>
    <row r="143" spans="2:38" x14ac:dyDescent="0.3">
      <c r="B143" s="1" t="s">
        <v>136</v>
      </c>
      <c r="C143" s="2">
        <v>17</v>
      </c>
      <c r="D143" s="2">
        <v>15</v>
      </c>
      <c r="E143" s="2">
        <v>7</v>
      </c>
      <c r="F143" s="8">
        <v>0.46666666666666701</v>
      </c>
      <c r="G143" s="2">
        <v>37.200000000000003</v>
      </c>
      <c r="H143" s="2">
        <v>5.3142849999999999</v>
      </c>
      <c r="I143" s="2"/>
      <c r="J143" s="2">
        <v>15</v>
      </c>
      <c r="K143" s="2">
        <v>12</v>
      </c>
      <c r="L143" s="8">
        <v>0.8</v>
      </c>
      <c r="M143" s="2">
        <v>138</v>
      </c>
      <c r="N143" s="2">
        <v>11.5</v>
      </c>
      <c r="O143" s="2">
        <v>9</v>
      </c>
      <c r="P143" s="8">
        <v>0.9</v>
      </c>
      <c r="Q143" s="2">
        <v>76.2</v>
      </c>
      <c r="R143" s="2">
        <v>8.4666666666666703</v>
      </c>
    </row>
    <row r="144" spans="2:38" x14ac:dyDescent="0.3">
      <c r="B144" s="1" t="s">
        <v>79</v>
      </c>
      <c r="C144" s="2">
        <v>979</v>
      </c>
      <c r="D144" s="2">
        <v>784</v>
      </c>
      <c r="E144" s="2">
        <v>223</v>
      </c>
      <c r="F144" s="8">
        <v>0.28443877551020402</v>
      </c>
      <c r="G144" s="2">
        <v>981.6</v>
      </c>
      <c r="H144" s="2">
        <v>4.4017929999999996</v>
      </c>
      <c r="I144" s="2"/>
      <c r="J144" s="2">
        <v>784</v>
      </c>
      <c r="K144" s="2">
        <v>232</v>
      </c>
      <c r="L144" s="8">
        <v>0.29591836734693899</v>
      </c>
      <c r="M144" s="2">
        <v>1316.4</v>
      </c>
      <c r="N144" s="2">
        <v>5.6741379310344797</v>
      </c>
      <c r="O144" s="2">
        <v>253</v>
      </c>
      <c r="P144" s="8">
        <v>0.97307692307692295</v>
      </c>
      <c r="Q144" s="2">
        <v>2392.1999999999998</v>
      </c>
      <c r="R144" s="2">
        <v>9.4553359683794493</v>
      </c>
    </row>
    <row r="145" spans="2:18" x14ac:dyDescent="0.3">
      <c r="B145" s="1" t="s">
        <v>126</v>
      </c>
      <c r="C145" s="2">
        <v>3</v>
      </c>
      <c r="D145" s="2">
        <v>3</v>
      </c>
      <c r="E145" s="2">
        <v>2</v>
      </c>
      <c r="F145" s="8">
        <v>0.66666666666666696</v>
      </c>
      <c r="G145" s="2">
        <v>15</v>
      </c>
      <c r="H145" s="2">
        <v>7.5</v>
      </c>
      <c r="I145" s="2"/>
      <c r="J145" s="2">
        <v>3</v>
      </c>
      <c r="K145" s="2">
        <v>2</v>
      </c>
      <c r="L145" s="8">
        <v>0.66666666666666696</v>
      </c>
      <c r="M145" s="2">
        <v>21</v>
      </c>
      <c r="N145" s="2">
        <v>10.5</v>
      </c>
      <c r="O145" s="2">
        <v>2</v>
      </c>
      <c r="P145" s="8">
        <v>1</v>
      </c>
      <c r="Q145" s="2">
        <v>30</v>
      </c>
      <c r="R145" s="2">
        <v>15</v>
      </c>
    </row>
    <row r="146" spans="2:18" x14ac:dyDescent="0.3">
      <c r="B146" s="1" t="s">
        <v>128</v>
      </c>
      <c r="C146" s="2">
        <v>222</v>
      </c>
      <c r="D146" s="2">
        <v>190</v>
      </c>
      <c r="E146" s="2">
        <v>154</v>
      </c>
      <c r="F146" s="8">
        <v>0.81052631578947398</v>
      </c>
      <c r="G146" s="2">
        <v>856.2</v>
      </c>
      <c r="H146" s="2">
        <v>5.5597399999999997</v>
      </c>
      <c r="I146" s="2"/>
      <c r="J146" s="2">
        <v>190</v>
      </c>
      <c r="K146" s="2">
        <v>94</v>
      </c>
      <c r="L146" s="8">
        <v>0.49473684210526298</v>
      </c>
      <c r="M146" s="2">
        <v>670.8</v>
      </c>
      <c r="N146" s="2">
        <v>7.1361702127659603</v>
      </c>
      <c r="O146" s="2">
        <v>62</v>
      </c>
      <c r="P146" s="8">
        <v>0.95384615384615401</v>
      </c>
      <c r="Q146" s="2">
        <v>591</v>
      </c>
      <c r="R146" s="2">
        <v>9.5322580645161299</v>
      </c>
    </row>
    <row r="147" spans="2:18" x14ac:dyDescent="0.3">
      <c r="B147" s="1" t="s">
        <v>140</v>
      </c>
      <c r="C147" s="2">
        <v>3</v>
      </c>
      <c r="D147" s="2">
        <v>3</v>
      </c>
      <c r="E147" s="2">
        <v>1</v>
      </c>
      <c r="F147" s="8">
        <v>0.33333333333333298</v>
      </c>
      <c r="G147" s="2">
        <v>1.2</v>
      </c>
      <c r="H147" s="2">
        <v>1.2</v>
      </c>
      <c r="I147" s="2"/>
      <c r="J147" s="2">
        <v>3</v>
      </c>
      <c r="K147" s="2">
        <v>2</v>
      </c>
      <c r="L147" s="8">
        <v>0.66666666666666696</v>
      </c>
      <c r="M147" s="2">
        <v>15</v>
      </c>
      <c r="N147" s="2">
        <v>7.5</v>
      </c>
      <c r="O147" s="2">
        <v>2</v>
      </c>
      <c r="P147" s="8">
        <v>1</v>
      </c>
      <c r="Q147" s="2">
        <v>4.2</v>
      </c>
      <c r="R147" s="2">
        <v>2.1</v>
      </c>
    </row>
    <row r="148" spans="2:18" x14ac:dyDescent="0.3">
      <c r="B148" s="1" t="s">
        <v>77</v>
      </c>
      <c r="C148" s="2">
        <v>34080</v>
      </c>
      <c r="D148" s="2">
        <v>28629</v>
      </c>
      <c r="E148" s="2">
        <v>1761</v>
      </c>
      <c r="F148" s="8">
        <v>6.1511055223724201E-2</v>
      </c>
      <c r="G148" s="2">
        <v>7082.4</v>
      </c>
      <c r="H148" s="2">
        <v>4.0218049999999996</v>
      </c>
      <c r="I148" s="2"/>
      <c r="J148" s="2">
        <v>28623</v>
      </c>
      <c r="K148" s="2">
        <v>1342</v>
      </c>
      <c r="L148" s="8">
        <v>4.68853719037138E-2</v>
      </c>
      <c r="M148" s="2">
        <v>5766</v>
      </c>
      <c r="N148" s="2">
        <v>4.2965722801788404</v>
      </c>
      <c r="O148" s="2">
        <v>1290</v>
      </c>
      <c r="P148" s="8">
        <v>0.97579425113464402</v>
      </c>
      <c r="Q148" s="2">
        <v>14769.6</v>
      </c>
      <c r="R148" s="2">
        <v>11.449302325581399</v>
      </c>
    </row>
    <row r="149" spans="2:18" x14ac:dyDescent="0.3">
      <c r="B149" s="1" t="s">
        <v>100</v>
      </c>
      <c r="C149" s="2">
        <v>508</v>
      </c>
      <c r="D149" s="2">
        <v>459</v>
      </c>
      <c r="E149" s="2">
        <v>456</v>
      </c>
      <c r="F149" s="8">
        <v>0.99346405228758194</v>
      </c>
      <c r="G149" s="2">
        <v>3903</v>
      </c>
      <c r="H149" s="2">
        <v>8.5592100000000002</v>
      </c>
      <c r="I149" s="2"/>
      <c r="J149" s="2">
        <v>461</v>
      </c>
      <c r="K149" s="2">
        <v>298</v>
      </c>
      <c r="L149" s="8">
        <v>0.64642082429501102</v>
      </c>
      <c r="M149" s="2">
        <v>2457</v>
      </c>
      <c r="N149" s="2">
        <v>8.2449664429530198</v>
      </c>
      <c r="O149" s="2">
        <v>190</v>
      </c>
      <c r="P149" s="8">
        <v>0.99476439790575899</v>
      </c>
      <c r="Q149" s="2">
        <v>2332.1999999999998</v>
      </c>
      <c r="R149" s="2">
        <v>12.2747368421053</v>
      </c>
    </row>
    <row r="150" spans="2:18" x14ac:dyDescent="0.3">
      <c r="B150" s="1" t="s">
        <v>105</v>
      </c>
      <c r="C150" s="2">
        <v>109</v>
      </c>
      <c r="D150" s="2">
        <v>106</v>
      </c>
      <c r="E150" s="2">
        <v>103</v>
      </c>
      <c r="F150" s="8">
        <v>0.97169811320754695</v>
      </c>
      <c r="G150" s="2">
        <v>874.2</v>
      </c>
      <c r="H150" s="2">
        <v>8.4873779999999996</v>
      </c>
      <c r="I150" s="2"/>
      <c r="J150" s="2">
        <v>107</v>
      </c>
      <c r="K150" s="2">
        <v>75</v>
      </c>
      <c r="L150" s="8">
        <v>0.70093457943925197</v>
      </c>
      <c r="M150" s="2">
        <v>632.4</v>
      </c>
      <c r="N150" s="2">
        <v>8.4320000000000004</v>
      </c>
      <c r="O150" s="2">
        <v>52</v>
      </c>
      <c r="P150" s="8">
        <v>0.92857142857142905</v>
      </c>
      <c r="Q150" s="2">
        <v>602.4</v>
      </c>
      <c r="R150" s="2">
        <v>11.5846153846154</v>
      </c>
    </row>
    <row r="151" spans="2:18" x14ac:dyDescent="0.3">
      <c r="B151" s="1" t="s">
        <v>137</v>
      </c>
      <c r="C151" s="2">
        <v>990</v>
      </c>
      <c r="D151" s="2">
        <v>854</v>
      </c>
      <c r="E151" s="2">
        <v>0</v>
      </c>
      <c r="F151" s="8">
        <v>0</v>
      </c>
      <c r="G151" s="2">
        <v>0</v>
      </c>
      <c r="H151" s="2">
        <v>0</v>
      </c>
      <c r="I151" s="2"/>
      <c r="J151" s="2">
        <v>812</v>
      </c>
      <c r="K151" s="2">
        <v>1</v>
      </c>
      <c r="L151" s="8">
        <v>1.23152709359606E-3</v>
      </c>
      <c r="M151" s="2">
        <v>3</v>
      </c>
      <c r="N151" s="2">
        <v>3</v>
      </c>
      <c r="O151" s="2">
        <v>0</v>
      </c>
      <c r="P151" s="8">
        <v>0</v>
      </c>
      <c r="Q151" s="2">
        <v>0</v>
      </c>
      <c r="R151" s="2">
        <v>0</v>
      </c>
    </row>
    <row r="152" spans="2:18" x14ac:dyDescent="0.3">
      <c r="B152" s="1" t="s">
        <v>148</v>
      </c>
      <c r="C152" s="2">
        <v>1</v>
      </c>
      <c r="D152" s="2">
        <v>0</v>
      </c>
      <c r="E152" s="2">
        <v>0</v>
      </c>
      <c r="F152" s="8">
        <v>0</v>
      </c>
      <c r="G152" s="2">
        <v>0</v>
      </c>
      <c r="H152" s="2">
        <v>0</v>
      </c>
      <c r="I152" s="2"/>
      <c r="J152" s="2">
        <v>0</v>
      </c>
      <c r="K152" s="2">
        <v>0</v>
      </c>
      <c r="L152" s="8">
        <v>0</v>
      </c>
      <c r="M152" s="2">
        <v>0</v>
      </c>
      <c r="N152" s="2">
        <v>0</v>
      </c>
      <c r="O152" s="2">
        <v>0</v>
      </c>
      <c r="P152" s="8">
        <v>0</v>
      </c>
      <c r="Q152" s="2">
        <v>0</v>
      </c>
      <c r="R152" s="2">
        <v>0</v>
      </c>
    </row>
    <row r="153" spans="2:18" x14ac:dyDescent="0.3">
      <c r="B153" s="1" t="s">
        <v>142</v>
      </c>
      <c r="C153" s="2">
        <v>4318</v>
      </c>
      <c r="D153" s="2">
        <v>3650</v>
      </c>
      <c r="E153" s="2">
        <v>0</v>
      </c>
      <c r="F153" s="8">
        <v>0</v>
      </c>
      <c r="G153" s="2">
        <v>0</v>
      </c>
      <c r="H153" s="2">
        <v>0</v>
      </c>
      <c r="I153" s="2"/>
      <c r="J153" s="2">
        <v>3647</v>
      </c>
      <c r="K153" s="2">
        <v>0</v>
      </c>
      <c r="L153" s="8">
        <v>0</v>
      </c>
      <c r="M153" s="2">
        <v>0</v>
      </c>
      <c r="N153" s="2">
        <v>0</v>
      </c>
      <c r="O153" s="2">
        <v>0</v>
      </c>
      <c r="P153" s="8">
        <v>0</v>
      </c>
      <c r="Q153" s="2">
        <v>0</v>
      </c>
      <c r="R153" s="2">
        <v>0</v>
      </c>
    </row>
    <row r="154" spans="2:18" x14ac:dyDescent="0.3">
      <c r="B154" s="1" t="s">
        <v>121</v>
      </c>
      <c r="C154" s="2">
        <v>2603</v>
      </c>
      <c r="D154" s="2">
        <v>2204</v>
      </c>
      <c r="E154" s="2">
        <v>0</v>
      </c>
      <c r="F154" s="8">
        <v>0</v>
      </c>
      <c r="G154" s="2">
        <v>0</v>
      </c>
      <c r="H154" s="2">
        <v>0</v>
      </c>
      <c r="I154" s="2"/>
      <c r="J154" s="2">
        <v>2208</v>
      </c>
      <c r="K154" s="2">
        <v>5</v>
      </c>
      <c r="L154" s="8">
        <v>2.2644927536231898E-3</v>
      </c>
      <c r="M154" s="2">
        <v>18</v>
      </c>
      <c r="N154" s="2">
        <v>3.6</v>
      </c>
      <c r="O154" s="2">
        <v>9</v>
      </c>
      <c r="P154" s="8">
        <v>0.69230769230769196</v>
      </c>
      <c r="Q154" s="2">
        <v>90.6</v>
      </c>
      <c r="R154" s="2">
        <v>10.0666666666667</v>
      </c>
    </row>
    <row r="159" spans="2:18" x14ac:dyDescent="0.3">
      <c r="B159" s="12" t="s">
        <v>8</v>
      </c>
      <c r="C159" s="70" t="s">
        <v>149</v>
      </c>
      <c r="D159" s="71"/>
      <c r="E159" s="71"/>
      <c r="F159" s="71"/>
      <c r="G159" s="71"/>
      <c r="H159" s="71"/>
      <c r="I159" s="71"/>
      <c r="J159" s="71"/>
      <c r="K159" s="71"/>
      <c r="L159" s="71"/>
      <c r="M159" s="71"/>
      <c r="N159" s="71"/>
      <c r="O159" s="71"/>
      <c r="P159" s="71"/>
      <c r="Q159" s="71"/>
      <c r="R159" s="72"/>
    </row>
    <row r="160" spans="2:18" x14ac:dyDescent="0.3">
      <c r="B160" s="1"/>
      <c r="C160" s="2"/>
      <c r="D160" s="65" t="s">
        <v>73</v>
      </c>
      <c r="E160" s="66"/>
      <c r="F160" s="66"/>
      <c r="G160" s="66"/>
      <c r="H160" s="67"/>
      <c r="I160" s="13" t="s">
        <v>153</v>
      </c>
      <c r="J160" s="65" t="s">
        <v>1</v>
      </c>
      <c r="K160" s="66"/>
      <c r="L160" s="66"/>
      <c r="M160" s="66"/>
      <c r="N160" s="66"/>
      <c r="O160" s="65" t="s">
        <v>156</v>
      </c>
      <c r="P160" s="66"/>
      <c r="Q160" s="66"/>
      <c r="R160" s="67"/>
    </row>
    <row r="161" spans="2:18" x14ac:dyDescent="0.3">
      <c r="B161" s="1" t="s">
        <v>71</v>
      </c>
      <c r="C161" s="2" t="s">
        <v>5</v>
      </c>
      <c r="D161" s="15" t="s">
        <v>2</v>
      </c>
      <c r="E161" s="15" t="s">
        <v>0</v>
      </c>
      <c r="F161" s="16" t="s">
        <v>3</v>
      </c>
      <c r="G161" s="15" t="s">
        <v>4</v>
      </c>
      <c r="H161" s="15" t="s">
        <v>6</v>
      </c>
      <c r="I161" s="6"/>
      <c r="J161" s="15" t="s">
        <v>2</v>
      </c>
      <c r="K161" s="15" t="s">
        <v>0</v>
      </c>
      <c r="L161" s="16" t="s">
        <v>3</v>
      </c>
      <c r="M161" s="15" t="s">
        <v>4</v>
      </c>
      <c r="N161" s="15" t="s">
        <v>7</v>
      </c>
      <c r="O161" s="15" t="s">
        <v>0</v>
      </c>
      <c r="P161" s="16" t="s">
        <v>3</v>
      </c>
      <c r="Q161" s="15" t="s">
        <v>4</v>
      </c>
      <c r="R161" s="15" t="s">
        <v>7</v>
      </c>
    </row>
    <row r="162" spans="2:18" x14ac:dyDescent="0.3">
      <c r="B162" s="1" t="s">
        <v>130</v>
      </c>
      <c r="C162" s="2">
        <v>8</v>
      </c>
      <c r="D162" s="2">
        <v>8</v>
      </c>
      <c r="E162" s="2">
        <v>8</v>
      </c>
      <c r="F162" s="8">
        <v>1</v>
      </c>
      <c r="G162" s="2">
        <v>258</v>
      </c>
      <c r="H162" s="2">
        <v>32.25</v>
      </c>
      <c r="I162" s="2"/>
      <c r="J162" s="2">
        <v>8</v>
      </c>
      <c r="K162" s="2">
        <v>8</v>
      </c>
      <c r="L162" s="8">
        <v>1</v>
      </c>
      <c r="M162" s="2">
        <v>228</v>
      </c>
      <c r="N162" s="2">
        <v>28.5</v>
      </c>
      <c r="O162" s="2">
        <v>8</v>
      </c>
      <c r="P162" s="8">
        <v>1</v>
      </c>
      <c r="Q162" s="2">
        <v>270</v>
      </c>
      <c r="R162" s="2">
        <v>33.75</v>
      </c>
    </row>
    <row r="163" spans="2:18" x14ac:dyDescent="0.3">
      <c r="B163" s="1" t="s">
        <v>138</v>
      </c>
      <c r="C163" s="2">
        <v>1</v>
      </c>
      <c r="D163" s="2">
        <v>1</v>
      </c>
      <c r="E163" s="2">
        <v>1</v>
      </c>
      <c r="F163" s="8">
        <v>1</v>
      </c>
      <c r="G163" s="2">
        <v>3</v>
      </c>
      <c r="H163" s="2">
        <v>3</v>
      </c>
      <c r="I163" s="2"/>
      <c r="J163" s="2">
        <v>1</v>
      </c>
      <c r="K163" s="2">
        <v>1</v>
      </c>
      <c r="L163" s="8">
        <v>1</v>
      </c>
      <c r="M163" s="2">
        <v>24</v>
      </c>
      <c r="N163" s="2">
        <v>24</v>
      </c>
      <c r="O163" s="2">
        <v>1</v>
      </c>
      <c r="P163" s="8">
        <v>1</v>
      </c>
      <c r="Q163" s="2">
        <v>36</v>
      </c>
      <c r="R163" s="2">
        <v>36</v>
      </c>
    </row>
    <row r="164" spans="2:18" x14ac:dyDescent="0.3">
      <c r="B164" s="1" t="s">
        <v>141</v>
      </c>
      <c r="C164" s="2">
        <v>4</v>
      </c>
      <c r="D164" s="2">
        <v>4</v>
      </c>
      <c r="E164" s="2">
        <v>4</v>
      </c>
      <c r="F164" s="8">
        <v>1</v>
      </c>
      <c r="G164" s="2">
        <v>108</v>
      </c>
      <c r="H164" s="2">
        <v>27</v>
      </c>
      <c r="I164" s="2"/>
      <c r="J164" s="2">
        <v>4</v>
      </c>
      <c r="K164" s="2">
        <v>4</v>
      </c>
      <c r="L164" s="8">
        <v>1</v>
      </c>
      <c r="M164" s="2">
        <v>84</v>
      </c>
      <c r="N164" s="2">
        <v>21</v>
      </c>
      <c r="O164" s="2">
        <v>4</v>
      </c>
      <c r="P164" s="8">
        <v>1</v>
      </c>
      <c r="Q164" s="2">
        <v>114</v>
      </c>
      <c r="R164" s="2">
        <v>28.5</v>
      </c>
    </row>
    <row r="165" spans="2:18" x14ac:dyDescent="0.3">
      <c r="B165" s="1" t="s">
        <v>143</v>
      </c>
      <c r="C165" s="2">
        <v>3</v>
      </c>
      <c r="D165" s="2">
        <v>3</v>
      </c>
      <c r="E165" s="2">
        <v>3</v>
      </c>
      <c r="F165" s="8">
        <v>1</v>
      </c>
      <c r="G165" s="2">
        <v>35.4</v>
      </c>
      <c r="H165" s="2">
        <v>11.8</v>
      </c>
      <c r="I165" s="2"/>
      <c r="J165" s="2">
        <v>3</v>
      </c>
      <c r="K165" s="2">
        <v>3</v>
      </c>
      <c r="L165" s="8">
        <v>1</v>
      </c>
      <c r="M165" s="2">
        <v>72</v>
      </c>
      <c r="N165" s="2">
        <v>24</v>
      </c>
      <c r="O165" s="2">
        <v>3</v>
      </c>
      <c r="P165" s="8">
        <v>1</v>
      </c>
      <c r="Q165" s="2">
        <v>108</v>
      </c>
      <c r="R165" s="2">
        <v>36</v>
      </c>
    </row>
    <row r="166" spans="2:18" x14ac:dyDescent="0.3">
      <c r="B166" s="1" t="s">
        <v>124</v>
      </c>
      <c r="C166" s="2">
        <v>4</v>
      </c>
      <c r="D166" s="2">
        <v>4</v>
      </c>
      <c r="E166" s="2">
        <v>4</v>
      </c>
      <c r="F166" s="8">
        <v>1</v>
      </c>
      <c r="G166" s="2">
        <v>144</v>
      </c>
      <c r="H166" s="2">
        <v>36</v>
      </c>
      <c r="I166" s="2"/>
      <c r="J166" s="2">
        <v>4</v>
      </c>
      <c r="K166" s="2">
        <v>4</v>
      </c>
      <c r="L166" s="8">
        <v>1</v>
      </c>
      <c r="M166" s="2">
        <v>102</v>
      </c>
      <c r="N166" s="2">
        <v>25.5</v>
      </c>
      <c r="O166" s="2">
        <v>4</v>
      </c>
      <c r="P166" s="8">
        <v>1</v>
      </c>
      <c r="Q166" s="2">
        <v>126</v>
      </c>
      <c r="R166" s="2">
        <v>31.5</v>
      </c>
    </row>
    <row r="167" spans="2:18" x14ac:dyDescent="0.3">
      <c r="B167" s="1" t="s">
        <v>139</v>
      </c>
      <c r="C167" s="2">
        <v>5</v>
      </c>
      <c r="D167" s="2">
        <v>1</v>
      </c>
      <c r="E167" s="2">
        <v>0</v>
      </c>
      <c r="F167" s="8">
        <v>0</v>
      </c>
      <c r="G167" s="2">
        <v>0</v>
      </c>
      <c r="H167" s="2">
        <v>0</v>
      </c>
      <c r="I167" s="2"/>
      <c r="J167" s="2">
        <v>2</v>
      </c>
      <c r="K167" s="2">
        <v>2</v>
      </c>
      <c r="L167" s="8">
        <v>1</v>
      </c>
      <c r="M167" s="2">
        <v>24</v>
      </c>
      <c r="N167" s="2">
        <v>12</v>
      </c>
      <c r="O167" s="2">
        <v>2</v>
      </c>
      <c r="P167" s="8">
        <v>1</v>
      </c>
      <c r="Q167" s="2">
        <v>66</v>
      </c>
      <c r="R167" s="2">
        <v>33</v>
      </c>
    </row>
    <row r="168" spans="2:18" x14ac:dyDescent="0.3">
      <c r="B168" s="1" t="s">
        <v>117</v>
      </c>
      <c r="C168" s="2">
        <v>12</v>
      </c>
      <c r="D168" s="2">
        <v>11</v>
      </c>
      <c r="E168" s="2">
        <v>11</v>
      </c>
      <c r="F168" s="8">
        <v>1</v>
      </c>
      <c r="G168" s="2">
        <v>55.8</v>
      </c>
      <c r="H168" s="2">
        <v>5.0727270000000004</v>
      </c>
      <c r="I168" s="2"/>
      <c r="J168" s="2">
        <v>11</v>
      </c>
      <c r="K168" s="2">
        <v>11</v>
      </c>
      <c r="L168" s="8">
        <v>1</v>
      </c>
      <c r="M168" s="2">
        <v>198</v>
      </c>
      <c r="N168" s="2">
        <v>18</v>
      </c>
      <c r="O168" s="2">
        <v>11</v>
      </c>
      <c r="P168" s="8">
        <v>1</v>
      </c>
      <c r="Q168" s="2">
        <v>228</v>
      </c>
      <c r="R168" s="2">
        <v>20.727272727272702</v>
      </c>
    </row>
    <row r="169" spans="2:18" x14ac:dyDescent="0.3">
      <c r="B169" s="1" t="s">
        <v>131</v>
      </c>
      <c r="C169" s="2">
        <v>10</v>
      </c>
      <c r="D169" s="2">
        <v>10</v>
      </c>
      <c r="E169" s="2">
        <v>10</v>
      </c>
      <c r="F169" s="8">
        <v>1</v>
      </c>
      <c r="G169" s="2">
        <v>270</v>
      </c>
      <c r="H169" s="2">
        <v>27</v>
      </c>
      <c r="I169" s="2"/>
      <c r="J169" s="2">
        <v>10</v>
      </c>
      <c r="K169" s="2">
        <v>10</v>
      </c>
      <c r="L169" s="8">
        <v>1</v>
      </c>
      <c r="M169" s="2">
        <v>252</v>
      </c>
      <c r="N169" s="2">
        <v>25.2</v>
      </c>
      <c r="O169" s="2">
        <v>10</v>
      </c>
      <c r="P169" s="8">
        <v>1</v>
      </c>
      <c r="Q169" s="2">
        <v>228</v>
      </c>
      <c r="R169" s="2">
        <v>22.8</v>
      </c>
    </row>
    <row r="170" spans="2:18" x14ac:dyDescent="0.3">
      <c r="B170" s="1" t="s">
        <v>101</v>
      </c>
      <c r="C170" s="2">
        <v>21</v>
      </c>
      <c r="D170" s="2">
        <v>21</v>
      </c>
      <c r="E170" s="2">
        <v>21</v>
      </c>
      <c r="F170" s="8">
        <v>1</v>
      </c>
      <c r="G170" s="2">
        <v>435.6</v>
      </c>
      <c r="H170" s="2">
        <v>20.742857000000001</v>
      </c>
      <c r="I170" s="2"/>
      <c r="J170" s="2">
        <v>21</v>
      </c>
      <c r="K170" s="2">
        <v>21</v>
      </c>
      <c r="L170" s="8">
        <v>1</v>
      </c>
      <c r="M170" s="2">
        <v>447</v>
      </c>
      <c r="N170" s="2">
        <v>21.285714285714299</v>
      </c>
      <c r="O170" s="2">
        <v>21</v>
      </c>
      <c r="P170" s="8">
        <v>1</v>
      </c>
      <c r="Q170" s="2">
        <v>481.2</v>
      </c>
      <c r="R170" s="2">
        <v>22.9142857142857</v>
      </c>
    </row>
    <row r="171" spans="2:18" x14ac:dyDescent="0.3">
      <c r="B171" s="1" t="s">
        <v>129</v>
      </c>
      <c r="C171" s="2">
        <v>25</v>
      </c>
      <c r="D171" s="2">
        <v>21</v>
      </c>
      <c r="E171" s="2">
        <v>15</v>
      </c>
      <c r="F171" s="8">
        <v>0.71428571428571397</v>
      </c>
      <c r="G171" s="2">
        <v>68.400000000000006</v>
      </c>
      <c r="H171" s="2">
        <v>4.5599999999999996</v>
      </c>
      <c r="I171" s="2"/>
      <c r="J171" s="2">
        <v>21</v>
      </c>
      <c r="K171" s="2">
        <v>14</v>
      </c>
      <c r="L171" s="8">
        <v>0.66666666666666696</v>
      </c>
      <c r="M171" s="2">
        <v>153</v>
      </c>
      <c r="N171" s="2">
        <v>10.9285714285714</v>
      </c>
      <c r="O171" s="2">
        <v>21</v>
      </c>
      <c r="P171" s="8">
        <v>1</v>
      </c>
      <c r="Q171" s="2">
        <v>354.6</v>
      </c>
      <c r="R171" s="2">
        <v>16.8857142857143</v>
      </c>
    </row>
    <row r="172" spans="2:18" x14ac:dyDescent="0.3">
      <c r="B172" s="1" t="s">
        <v>113</v>
      </c>
      <c r="C172" s="2">
        <v>11</v>
      </c>
      <c r="D172" s="2">
        <v>11</v>
      </c>
      <c r="E172" s="2">
        <v>11</v>
      </c>
      <c r="F172" s="8">
        <v>1</v>
      </c>
      <c r="G172" s="2">
        <v>142.80000000000001</v>
      </c>
      <c r="H172" s="2">
        <v>12.981818000000001</v>
      </c>
      <c r="I172" s="2"/>
      <c r="J172" s="2">
        <v>11</v>
      </c>
      <c r="K172" s="2">
        <v>11</v>
      </c>
      <c r="L172" s="8">
        <v>1</v>
      </c>
      <c r="M172" s="2">
        <v>201.6</v>
      </c>
      <c r="N172" s="2">
        <v>18.3272727272727</v>
      </c>
      <c r="O172" s="2">
        <v>11</v>
      </c>
      <c r="P172" s="8">
        <v>1</v>
      </c>
      <c r="Q172" s="2">
        <v>178.2</v>
      </c>
      <c r="R172" s="2">
        <v>16.2</v>
      </c>
    </row>
    <row r="173" spans="2:18" x14ac:dyDescent="0.3">
      <c r="B173" s="1" t="s">
        <v>116</v>
      </c>
      <c r="C173" s="2">
        <v>7</v>
      </c>
      <c r="D173" s="2">
        <v>5</v>
      </c>
      <c r="E173" s="2">
        <v>3</v>
      </c>
      <c r="F173" s="8">
        <v>0.6</v>
      </c>
      <c r="G173" s="2">
        <v>24.6</v>
      </c>
      <c r="H173" s="2">
        <v>8.1999999999999993</v>
      </c>
      <c r="I173" s="2"/>
      <c r="J173" s="2">
        <v>5</v>
      </c>
      <c r="K173" s="2">
        <v>4</v>
      </c>
      <c r="L173" s="8">
        <v>0.8</v>
      </c>
      <c r="M173" s="2">
        <v>57</v>
      </c>
      <c r="N173" s="2">
        <v>14.25</v>
      </c>
      <c r="O173" s="2">
        <v>5</v>
      </c>
      <c r="P173" s="8">
        <v>1</v>
      </c>
      <c r="Q173" s="2">
        <v>72</v>
      </c>
      <c r="R173" s="2">
        <v>14.4</v>
      </c>
    </row>
    <row r="174" spans="2:18" x14ac:dyDescent="0.3">
      <c r="B174" s="1" t="s">
        <v>89</v>
      </c>
      <c r="C174" s="2">
        <v>99</v>
      </c>
      <c r="D174" s="2">
        <v>78</v>
      </c>
      <c r="E174" s="2">
        <v>33</v>
      </c>
      <c r="F174" s="8">
        <v>0.42307692307692302</v>
      </c>
      <c r="G174" s="2">
        <v>194.4</v>
      </c>
      <c r="H174" s="2">
        <v>5.8909089999999997</v>
      </c>
      <c r="I174" s="2"/>
      <c r="J174" s="2">
        <v>77</v>
      </c>
      <c r="K174" s="2">
        <v>31</v>
      </c>
      <c r="L174" s="8">
        <v>0.40259740259740301</v>
      </c>
      <c r="M174" s="2">
        <v>244.2</v>
      </c>
      <c r="N174" s="2">
        <v>7.8774193548387101</v>
      </c>
      <c r="O174" s="2">
        <v>58</v>
      </c>
      <c r="P174" s="8">
        <v>1</v>
      </c>
      <c r="Q174" s="2">
        <v>677.4</v>
      </c>
      <c r="R174" s="2">
        <v>11.6793103448276</v>
      </c>
    </row>
    <row r="175" spans="2:18" x14ac:dyDescent="0.3">
      <c r="B175" s="1" t="s">
        <v>119</v>
      </c>
      <c r="C175" s="2">
        <v>12</v>
      </c>
      <c r="D175" s="2">
        <v>12</v>
      </c>
      <c r="E175" s="2">
        <v>12</v>
      </c>
      <c r="F175" s="8">
        <v>1</v>
      </c>
      <c r="G175" s="2">
        <v>91.2</v>
      </c>
      <c r="H175" s="2">
        <v>7.6</v>
      </c>
      <c r="I175" s="2"/>
      <c r="J175" s="2">
        <v>12</v>
      </c>
      <c r="K175" s="2">
        <v>12</v>
      </c>
      <c r="L175" s="8">
        <v>1</v>
      </c>
      <c r="M175" s="2">
        <v>153.6</v>
      </c>
      <c r="N175" s="2">
        <v>12.8</v>
      </c>
      <c r="O175" s="2">
        <v>12</v>
      </c>
      <c r="P175" s="8">
        <v>1</v>
      </c>
      <c r="Q175" s="2">
        <v>147.6</v>
      </c>
      <c r="R175" s="2">
        <v>12.3</v>
      </c>
    </row>
    <row r="176" spans="2:18" x14ac:dyDescent="0.3">
      <c r="B176" s="1" t="s">
        <v>90</v>
      </c>
      <c r="C176" s="2">
        <v>42</v>
      </c>
      <c r="D176" s="2">
        <v>38</v>
      </c>
      <c r="E176" s="2">
        <v>36</v>
      </c>
      <c r="F176" s="8">
        <v>0.94736842105263197</v>
      </c>
      <c r="G176" s="2">
        <v>195.6</v>
      </c>
      <c r="H176" s="2">
        <v>5.4333330000000002</v>
      </c>
      <c r="I176" s="2"/>
      <c r="J176" s="2">
        <v>37</v>
      </c>
      <c r="K176" s="2">
        <v>29</v>
      </c>
      <c r="L176" s="8">
        <v>0.78378378378378399</v>
      </c>
      <c r="M176" s="2">
        <v>378</v>
      </c>
      <c r="N176" s="2">
        <v>13.034482758620699</v>
      </c>
      <c r="O176" s="2">
        <v>29</v>
      </c>
      <c r="P176" s="8">
        <v>1</v>
      </c>
      <c r="Q176" s="2">
        <v>347.4</v>
      </c>
      <c r="R176" s="2">
        <v>11.979310344827599</v>
      </c>
    </row>
    <row r="177" spans="2:18" x14ac:dyDescent="0.3">
      <c r="B177" s="1" t="s">
        <v>109</v>
      </c>
      <c r="C177" s="2">
        <v>83</v>
      </c>
      <c r="D177" s="2">
        <v>74</v>
      </c>
      <c r="E177" s="2">
        <v>74</v>
      </c>
      <c r="F177" s="8">
        <v>1</v>
      </c>
      <c r="G177" s="2">
        <v>1502.4</v>
      </c>
      <c r="H177" s="2">
        <v>20.302702</v>
      </c>
      <c r="I177" s="2"/>
      <c r="J177" s="2">
        <v>74</v>
      </c>
      <c r="K177" s="2">
        <v>72</v>
      </c>
      <c r="L177" s="8">
        <v>0.97297297297297303</v>
      </c>
      <c r="M177" s="2">
        <v>1101</v>
      </c>
      <c r="N177" s="2">
        <v>15.2916666666667</v>
      </c>
      <c r="O177" s="2">
        <v>66</v>
      </c>
      <c r="P177" s="8">
        <v>1</v>
      </c>
      <c r="Q177" s="2">
        <v>1128</v>
      </c>
      <c r="R177" s="2">
        <v>17.090909090909101</v>
      </c>
    </row>
    <row r="178" spans="2:18" x14ac:dyDescent="0.3">
      <c r="B178" s="1" t="s">
        <v>127</v>
      </c>
      <c r="C178" s="2">
        <v>23</v>
      </c>
      <c r="D178" s="2">
        <v>22</v>
      </c>
      <c r="E178" s="2">
        <v>15</v>
      </c>
      <c r="F178" s="8">
        <v>0.68181818181818199</v>
      </c>
      <c r="G178" s="2">
        <v>85.2</v>
      </c>
      <c r="H178" s="2">
        <v>5.68</v>
      </c>
      <c r="I178" s="2"/>
      <c r="J178" s="2">
        <v>22</v>
      </c>
      <c r="K178" s="2">
        <v>18</v>
      </c>
      <c r="L178" s="8">
        <v>0.81818181818181801</v>
      </c>
      <c r="M178" s="2">
        <v>270</v>
      </c>
      <c r="N178" s="2">
        <v>15</v>
      </c>
      <c r="O178" s="2">
        <v>22</v>
      </c>
      <c r="P178" s="8">
        <v>1</v>
      </c>
      <c r="Q178" s="2">
        <v>297</v>
      </c>
      <c r="R178" s="2">
        <v>13.5</v>
      </c>
    </row>
    <row r="179" spans="2:18" x14ac:dyDescent="0.3">
      <c r="B179" s="1" t="s">
        <v>108</v>
      </c>
      <c r="C179" s="2">
        <v>57</v>
      </c>
      <c r="D179" s="2">
        <v>51</v>
      </c>
      <c r="E179" s="2">
        <v>51</v>
      </c>
      <c r="F179" s="8">
        <v>1</v>
      </c>
      <c r="G179" s="2">
        <v>674.4</v>
      </c>
      <c r="H179" s="2">
        <v>13.223528999999999</v>
      </c>
      <c r="I179" s="2"/>
      <c r="J179" s="2">
        <v>51</v>
      </c>
      <c r="K179" s="2">
        <v>46</v>
      </c>
      <c r="L179" s="8">
        <v>0.90196078431372595</v>
      </c>
      <c r="M179" s="2">
        <v>747</v>
      </c>
      <c r="N179" s="2">
        <v>16.239130434782599</v>
      </c>
      <c r="O179" s="2">
        <v>44</v>
      </c>
      <c r="P179" s="8">
        <v>0.97777777777777797</v>
      </c>
      <c r="Q179" s="2">
        <v>671.4</v>
      </c>
      <c r="R179" s="2">
        <v>15.259090909090901</v>
      </c>
    </row>
    <row r="180" spans="2:18" x14ac:dyDescent="0.3">
      <c r="B180" s="1" t="s">
        <v>118</v>
      </c>
      <c r="C180" s="2">
        <v>163</v>
      </c>
      <c r="D180" s="2">
        <v>156</v>
      </c>
      <c r="E180" s="2">
        <v>153</v>
      </c>
      <c r="F180" s="8">
        <v>0.98076923076923095</v>
      </c>
      <c r="G180" s="2">
        <v>1471.2</v>
      </c>
      <c r="H180" s="2">
        <v>9.6156860000000002</v>
      </c>
      <c r="I180" s="2"/>
      <c r="J180" s="2">
        <v>156</v>
      </c>
      <c r="K180" s="2">
        <v>138</v>
      </c>
      <c r="L180" s="8">
        <v>0.88461538461538503</v>
      </c>
      <c r="M180" s="2">
        <v>1485</v>
      </c>
      <c r="N180" s="2">
        <v>10.7608695652174</v>
      </c>
      <c r="O180" s="2">
        <v>119</v>
      </c>
      <c r="P180" s="8">
        <v>0.95967741935483897</v>
      </c>
      <c r="Q180" s="2">
        <v>1288.2</v>
      </c>
      <c r="R180" s="2">
        <v>10.8252100840336</v>
      </c>
    </row>
    <row r="181" spans="2:18" x14ac:dyDescent="0.3">
      <c r="B181" s="1" t="s">
        <v>78</v>
      </c>
      <c r="C181" s="2">
        <v>541</v>
      </c>
      <c r="D181" s="2">
        <v>493</v>
      </c>
      <c r="E181" s="2">
        <v>482</v>
      </c>
      <c r="F181" s="8">
        <v>0.977687626774848</v>
      </c>
      <c r="G181" s="2">
        <v>4248</v>
      </c>
      <c r="H181" s="2">
        <v>8.8132780000000004</v>
      </c>
      <c r="I181" s="2"/>
      <c r="J181" s="2">
        <v>494</v>
      </c>
      <c r="K181" s="2">
        <v>420</v>
      </c>
      <c r="L181" s="8">
        <v>0.85020242914979804</v>
      </c>
      <c r="M181" s="2">
        <v>4372.8</v>
      </c>
      <c r="N181" s="2">
        <v>10.411428571428599</v>
      </c>
      <c r="O181" s="2">
        <v>328</v>
      </c>
      <c r="P181" s="8">
        <v>0.99696048632218803</v>
      </c>
      <c r="Q181" s="2">
        <v>4414.2</v>
      </c>
      <c r="R181" s="2">
        <v>13.457926829268301</v>
      </c>
    </row>
    <row r="182" spans="2:18" x14ac:dyDescent="0.3">
      <c r="B182" s="1" t="s">
        <v>135</v>
      </c>
      <c r="C182" s="2">
        <v>8</v>
      </c>
      <c r="D182" s="2">
        <v>8</v>
      </c>
      <c r="E182" s="2">
        <v>8</v>
      </c>
      <c r="F182" s="8">
        <v>1</v>
      </c>
      <c r="G182" s="2">
        <v>54</v>
      </c>
      <c r="H182" s="2">
        <v>6.75</v>
      </c>
      <c r="I182" s="2"/>
      <c r="J182" s="2">
        <v>8</v>
      </c>
      <c r="K182" s="2">
        <v>8</v>
      </c>
      <c r="L182" s="8">
        <v>1</v>
      </c>
      <c r="M182" s="2">
        <v>93</v>
      </c>
      <c r="N182" s="2">
        <v>11.625</v>
      </c>
      <c r="O182" s="2">
        <v>8</v>
      </c>
      <c r="P182" s="8">
        <v>1</v>
      </c>
      <c r="Q182" s="2">
        <v>56.4</v>
      </c>
      <c r="R182" s="2">
        <v>7.05</v>
      </c>
    </row>
    <row r="183" spans="2:18" x14ac:dyDescent="0.3">
      <c r="B183" s="1" t="s">
        <v>122</v>
      </c>
      <c r="C183" s="2">
        <v>197</v>
      </c>
      <c r="D183" s="2">
        <v>172</v>
      </c>
      <c r="E183" s="2">
        <v>121</v>
      </c>
      <c r="F183" s="8">
        <v>0.70348837209302295</v>
      </c>
      <c r="G183" s="2">
        <v>631.79999999999995</v>
      </c>
      <c r="H183" s="2">
        <v>5.2214869999999998</v>
      </c>
      <c r="I183" s="2"/>
      <c r="J183" s="2">
        <v>173</v>
      </c>
      <c r="K183" s="2">
        <v>117</v>
      </c>
      <c r="L183" s="8">
        <v>0.67630057803468202</v>
      </c>
      <c r="M183" s="2">
        <v>1045.2</v>
      </c>
      <c r="N183" s="2">
        <v>8.93333333333333</v>
      </c>
      <c r="O183" s="2">
        <v>82</v>
      </c>
      <c r="P183" s="8">
        <v>0.98795180722891596</v>
      </c>
      <c r="Q183" s="2">
        <v>813</v>
      </c>
      <c r="R183" s="2">
        <v>9.9146341463414593</v>
      </c>
    </row>
    <row r="184" spans="2:18" x14ac:dyDescent="0.3">
      <c r="B184" s="1" t="s">
        <v>136</v>
      </c>
      <c r="C184" s="2">
        <v>17</v>
      </c>
      <c r="D184" s="2">
        <v>15</v>
      </c>
      <c r="E184" s="2">
        <v>7</v>
      </c>
      <c r="F184" s="8">
        <v>0.46666666666666701</v>
      </c>
      <c r="G184" s="2">
        <v>37.200000000000003</v>
      </c>
      <c r="H184" s="2">
        <v>5.3142849999999999</v>
      </c>
      <c r="I184" s="2"/>
      <c r="J184" s="2">
        <v>15</v>
      </c>
      <c r="K184" s="2">
        <v>12</v>
      </c>
      <c r="L184" s="8">
        <v>0.8</v>
      </c>
      <c r="M184" s="2">
        <v>138</v>
      </c>
      <c r="N184" s="2">
        <v>11.5</v>
      </c>
      <c r="O184" s="2">
        <v>9</v>
      </c>
      <c r="P184" s="8">
        <v>0.9</v>
      </c>
      <c r="Q184" s="2">
        <v>76.2</v>
      </c>
      <c r="R184" s="2">
        <v>8.4666666666666703</v>
      </c>
    </row>
    <row r="185" spans="2:18" x14ac:dyDescent="0.3">
      <c r="B185" s="1" t="s">
        <v>79</v>
      </c>
      <c r="C185" s="2">
        <v>979</v>
      </c>
      <c r="D185" s="2">
        <v>784</v>
      </c>
      <c r="E185" s="2">
        <v>223</v>
      </c>
      <c r="F185" s="8">
        <v>0.28443877551020402</v>
      </c>
      <c r="G185" s="2">
        <v>981.6</v>
      </c>
      <c r="H185" s="2">
        <v>4.4017929999999996</v>
      </c>
      <c r="I185" s="2"/>
      <c r="J185" s="2">
        <v>784</v>
      </c>
      <c r="K185" s="2">
        <v>232</v>
      </c>
      <c r="L185" s="8">
        <v>0.29591836734693899</v>
      </c>
      <c r="M185" s="2">
        <v>1316.4</v>
      </c>
      <c r="N185" s="2">
        <v>5.6741379310344797</v>
      </c>
      <c r="O185" s="2">
        <v>253</v>
      </c>
      <c r="P185" s="8">
        <v>0.97307692307692295</v>
      </c>
      <c r="Q185" s="2">
        <v>2392.1999999999998</v>
      </c>
      <c r="R185" s="2">
        <v>9.4553359683794493</v>
      </c>
    </row>
    <row r="186" spans="2:18" x14ac:dyDescent="0.3">
      <c r="B186" s="1" t="s">
        <v>126</v>
      </c>
      <c r="C186" s="2">
        <v>3</v>
      </c>
      <c r="D186" s="2">
        <v>3</v>
      </c>
      <c r="E186" s="2">
        <v>2</v>
      </c>
      <c r="F186" s="8">
        <v>0.66666666666666696</v>
      </c>
      <c r="G186" s="2">
        <v>15</v>
      </c>
      <c r="H186" s="2">
        <v>7.5</v>
      </c>
      <c r="I186" s="2"/>
      <c r="J186" s="2">
        <v>3</v>
      </c>
      <c r="K186" s="2">
        <v>2</v>
      </c>
      <c r="L186" s="8">
        <v>0.66666666666666696</v>
      </c>
      <c r="M186" s="2">
        <v>21</v>
      </c>
      <c r="N186" s="2">
        <v>10.5</v>
      </c>
      <c r="O186" s="2">
        <v>2</v>
      </c>
      <c r="P186" s="8">
        <v>1</v>
      </c>
      <c r="Q186" s="2">
        <v>30</v>
      </c>
      <c r="R186" s="2">
        <v>15</v>
      </c>
    </row>
    <row r="187" spans="2:18" x14ac:dyDescent="0.3">
      <c r="B187" s="1" t="s">
        <v>128</v>
      </c>
      <c r="C187" s="2">
        <v>222</v>
      </c>
      <c r="D187" s="2">
        <v>190</v>
      </c>
      <c r="E187" s="2">
        <v>154</v>
      </c>
      <c r="F187" s="8">
        <v>0.81052631578947398</v>
      </c>
      <c r="G187" s="2">
        <v>856.2</v>
      </c>
      <c r="H187" s="2">
        <v>5.5597399999999997</v>
      </c>
      <c r="I187" s="2"/>
      <c r="J187" s="2">
        <v>190</v>
      </c>
      <c r="K187" s="2">
        <v>94</v>
      </c>
      <c r="L187" s="8">
        <v>0.49473684210526298</v>
      </c>
      <c r="M187" s="2">
        <v>670.8</v>
      </c>
      <c r="N187" s="2">
        <v>7.1361702127659603</v>
      </c>
      <c r="O187" s="2">
        <v>62</v>
      </c>
      <c r="P187" s="8">
        <v>0.95384615384615401</v>
      </c>
      <c r="Q187" s="2">
        <v>591</v>
      </c>
      <c r="R187" s="2">
        <v>9.5322580645161299</v>
      </c>
    </row>
    <row r="188" spans="2:18" x14ac:dyDescent="0.3">
      <c r="B188" s="1" t="s">
        <v>140</v>
      </c>
      <c r="C188" s="2">
        <v>3</v>
      </c>
      <c r="D188" s="2">
        <v>3</v>
      </c>
      <c r="E188" s="2">
        <v>1</v>
      </c>
      <c r="F188" s="8">
        <v>0.33333333333333298</v>
      </c>
      <c r="G188" s="2">
        <v>1.2</v>
      </c>
      <c r="H188" s="2">
        <v>1.2</v>
      </c>
      <c r="I188" s="2"/>
      <c r="J188" s="2">
        <v>3</v>
      </c>
      <c r="K188" s="2">
        <v>2</v>
      </c>
      <c r="L188" s="8">
        <v>0.66666666666666696</v>
      </c>
      <c r="M188" s="2">
        <v>15</v>
      </c>
      <c r="N188" s="2">
        <v>7.5</v>
      </c>
      <c r="O188" s="2">
        <v>2</v>
      </c>
      <c r="P188" s="8">
        <v>1</v>
      </c>
      <c r="Q188" s="2">
        <v>4.2</v>
      </c>
      <c r="R188" s="2">
        <v>2.1</v>
      </c>
    </row>
    <row r="189" spans="2:18" x14ac:dyDescent="0.3">
      <c r="B189" s="1" t="s">
        <v>77</v>
      </c>
      <c r="C189" s="2">
        <v>34080</v>
      </c>
      <c r="D189" s="2">
        <v>28629</v>
      </c>
      <c r="E189" s="2">
        <v>1761</v>
      </c>
      <c r="F189" s="8">
        <v>6.1511055223724201E-2</v>
      </c>
      <c r="G189" s="2">
        <v>7082.4</v>
      </c>
      <c r="H189" s="2">
        <v>4.0218049999999996</v>
      </c>
      <c r="I189" s="2"/>
      <c r="J189" s="2">
        <v>28623</v>
      </c>
      <c r="K189" s="2">
        <v>1342</v>
      </c>
      <c r="L189" s="8">
        <v>4.68853719037138E-2</v>
      </c>
      <c r="M189" s="2">
        <v>5766</v>
      </c>
      <c r="N189" s="2">
        <v>4.2965722801788404</v>
      </c>
      <c r="O189" s="2">
        <v>1290</v>
      </c>
      <c r="P189" s="8">
        <v>0.97579425113464402</v>
      </c>
      <c r="Q189" s="2">
        <v>14769.6</v>
      </c>
      <c r="R189" s="2">
        <v>11.449302325581399</v>
      </c>
    </row>
    <row r="190" spans="2:18" x14ac:dyDescent="0.3">
      <c r="B190" s="1" t="s">
        <v>100</v>
      </c>
      <c r="C190" s="2">
        <v>508</v>
      </c>
      <c r="D190" s="2">
        <v>459</v>
      </c>
      <c r="E190" s="2">
        <v>456</v>
      </c>
      <c r="F190" s="8">
        <v>0.99346405228758194</v>
      </c>
      <c r="G190" s="2">
        <v>3903</v>
      </c>
      <c r="H190" s="2">
        <v>8.5592100000000002</v>
      </c>
      <c r="I190" s="2"/>
      <c r="J190" s="2">
        <v>461</v>
      </c>
      <c r="K190" s="2">
        <v>298</v>
      </c>
      <c r="L190" s="8">
        <v>0.64642082429501102</v>
      </c>
      <c r="M190" s="2">
        <v>2457</v>
      </c>
      <c r="N190" s="2">
        <v>8.2449664429530198</v>
      </c>
      <c r="O190" s="2">
        <v>190</v>
      </c>
      <c r="P190" s="8">
        <v>0.99476439790575899</v>
      </c>
      <c r="Q190" s="2">
        <v>2332.1999999999998</v>
      </c>
      <c r="R190" s="2">
        <v>12.2747368421053</v>
      </c>
    </row>
    <row r="191" spans="2:18" x14ac:dyDescent="0.3">
      <c r="B191" s="1" t="s">
        <v>105</v>
      </c>
      <c r="C191" s="2">
        <v>109</v>
      </c>
      <c r="D191" s="2">
        <v>106</v>
      </c>
      <c r="E191" s="2">
        <v>103</v>
      </c>
      <c r="F191" s="8">
        <v>0.97169811320754695</v>
      </c>
      <c r="G191" s="2">
        <v>874.2</v>
      </c>
      <c r="H191" s="2">
        <v>8.4873779999999996</v>
      </c>
      <c r="I191" s="2"/>
      <c r="J191" s="2">
        <v>107</v>
      </c>
      <c r="K191" s="2">
        <v>75</v>
      </c>
      <c r="L191" s="8">
        <v>0.70093457943925197</v>
      </c>
      <c r="M191" s="2">
        <v>632.4</v>
      </c>
      <c r="N191" s="2">
        <v>8.4320000000000004</v>
      </c>
      <c r="O191" s="2">
        <v>52</v>
      </c>
      <c r="P191" s="8">
        <v>0.92857142857142905</v>
      </c>
      <c r="Q191" s="2">
        <v>602.4</v>
      </c>
      <c r="R191" s="2">
        <v>11.5846153846154</v>
      </c>
    </row>
    <row r="192" spans="2:18" x14ac:dyDescent="0.3">
      <c r="B192" s="1" t="s">
        <v>137</v>
      </c>
      <c r="C192" s="2">
        <v>990</v>
      </c>
      <c r="D192" s="2">
        <v>854</v>
      </c>
      <c r="E192" s="2">
        <v>0</v>
      </c>
      <c r="F192" s="8">
        <v>0</v>
      </c>
      <c r="G192" s="2">
        <v>0</v>
      </c>
      <c r="H192" s="2">
        <v>0</v>
      </c>
      <c r="I192" s="2"/>
      <c r="J192" s="2">
        <v>812</v>
      </c>
      <c r="K192" s="2">
        <v>1</v>
      </c>
      <c r="L192" s="8">
        <v>1.23152709359606E-3</v>
      </c>
      <c r="M192" s="2">
        <v>3</v>
      </c>
      <c r="N192" s="2">
        <v>3</v>
      </c>
      <c r="O192" s="2">
        <v>0</v>
      </c>
      <c r="P192" s="8">
        <v>0</v>
      </c>
      <c r="Q192" s="2">
        <v>0</v>
      </c>
      <c r="R192" s="2">
        <v>0</v>
      </c>
    </row>
    <row r="193" spans="2:18" x14ac:dyDescent="0.3">
      <c r="B193" s="1" t="s">
        <v>148</v>
      </c>
      <c r="C193" s="2">
        <v>1</v>
      </c>
      <c r="D193" s="2">
        <v>0</v>
      </c>
      <c r="E193" s="2">
        <v>0</v>
      </c>
      <c r="F193" s="8">
        <v>0</v>
      </c>
      <c r="G193" s="2">
        <v>0</v>
      </c>
      <c r="H193" s="2">
        <v>0</v>
      </c>
      <c r="I193" s="2"/>
      <c r="J193" s="2">
        <v>0</v>
      </c>
      <c r="K193" s="2">
        <v>0</v>
      </c>
      <c r="L193" s="8">
        <v>0</v>
      </c>
      <c r="M193" s="2">
        <v>0</v>
      </c>
      <c r="N193" s="2">
        <v>0</v>
      </c>
      <c r="O193" s="2">
        <v>0</v>
      </c>
      <c r="P193" s="8">
        <v>0</v>
      </c>
      <c r="Q193" s="2">
        <v>0</v>
      </c>
      <c r="R193" s="2">
        <v>0</v>
      </c>
    </row>
    <row r="194" spans="2:18" x14ac:dyDescent="0.3">
      <c r="B194" s="1" t="s">
        <v>142</v>
      </c>
      <c r="C194" s="2">
        <v>4318</v>
      </c>
      <c r="D194" s="2">
        <v>3650</v>
      </c>
      <c r="E194" s="2">
        <v>0</v>
      </c>
      <c r="F194" s="8">
        <v>0</v>
      </c>
      <c r="G194" s="2">
        <v>0</v>
      </c>
      <c r="H194" s="2">
        <v>0</v>
      </c>
      <c r="I194" s="2"/>
      <c r="J194" s="2">
        <v>3647</v>
      </c>
      <c r="K194" s="2">
        <v>0</v>
      </c>
      <c r="L194" s="8">
        <v>0</v>
      </c>
      <c r="M194" s="2">
        <v>0</v>
      </c>
      <c r="N194" s="2">
        <v>0</v>
      </c>
      <c r="O194" s="2">
        <v>0</v>
      </c>
      <c r="P194" s="8">
        <v>0</v>
      </c>
      <c r="Q194" s="2">
        <v>0</v>
      </c>
      <c r="R194" s="2">
        <v>0</v>
      </c>
    </row>
    <row r="195" spans="2:18" x14ac:dyDescent="0.3">
      <c r="B195" s="1" t="s">
        <v>121</v>
      </c>
      <c r="C195" s="2">
        <v>2603</v>
      </c>
      <c r="D195" s="2">
        <v>2204</v>
      </c>
      <c r="E195" s="2">
        <v>0</v>
      </c>
      <c r="F195" s="8">
        <v>0</v>
      </c>
      <c r="G195" s="2">
        <v>0</v>
      </c>
      <c r="H195" s="2">
        <v>0</v>
      </c>
      <c r="I195" s="2"/>
      <c r="J195" s="2">
        <v>2208</v>
      </c>
      <c r="K195" s="2">
        <v>5</v>
      </c>
      <c r="L195" s="8">
        <v>2.2644927536231898E-3</v>
      </c>
      <c r="M195" s="2">
        <v>18</v>
      </c>
      <c r="N195" s="2">
        <v>3.6</v>
      </c>
      <c r="O195" s="2">
        <v>9</v>
      </c>
      <c r="P195" s="8">
        <v>0.69230769230769196</v>
      </c>
      <c r="Q195" s="2">
        <v>90.6</v>
      </c>
      <c r="R195" s="2">
        <v>10.0666666666667</v>
      </c>
    </row>
  </sheetData>
  <customSheetViews>
    <customSheetView guid="{6FFAB0EA-95EC-4C9A-83AA-FD15748D7B98}" scale="70" showGridLines="0" state="hidden" topLeftCell="A3">
      <selection activeCell="A8" sqref="A8"/>
      <pageMargins left="0.7" right="0.7" top="0.75" bottom="0.75" header="0.3" footer="0.3"/>
      <pageSetup orientation="portrait" r:id="rId1"/>
    </customSheetView>
  </customSheetViews>
  <mergeCells count="46">
    <mergeCell ref="W36:AM36"/>
    <mergeCell ref="AI136:AL136"/>
    <mergeCell ref="AI119:AL119"/>
    <mergeCell ref="AH79:AK79"/>
    <mergeCell ref="AC79:AG79"/>
    <mergeCell ref="V78:AK78"/>
    <mergeCell ref="X37:AB37"/>
    <mergeCell ref="AE37:AI37"/>
    <mergeCell ref="AJ37:AM37"/>
    <mergeCell ref="X54:AB54"/>
    <mergeCell ref="AE54:AI54"/>
    <mergeCell ref="AJ54:AM54"/>
    <mergeCell ref="AC54:AD54"/>
    <mergeCell ref="AC37:AD37"/>
    <mergeCell ref="W53:AM53"/>
    <mergeCell ref="O86:R86"/>
    <mergeCell ref="J103:N103"/>
    <mergeCell ref="O103:R103"/>
    <mergeCell ref="J119:N119"/>
    <mergeCell ref="O119:R119"/>
    <mergeCell ref="C118:R118"/>
    <mergeCell ref="D119:H119"/>
    <mergeCell ref="C159:R159"/>
    <mergeCell ref="D160:H160"/>
    <mergeCell ref="J160:N160"/>
    <mergeCell ref="O160:R160"/>
    <mergeCell ref="X79:AB79"/>
    <mergeCell ref="C102:R102"/>
    <mergeCell ref="D103:H103"/>
    <mergeCell ref="W118:AL118"/>
    <mergeCell ref="W135:AL135"/>
    <mergeCell ref="X136:AB136"/>
    <mergeCell ref="AD136:AH136"/>
    <mergeCell ref="D86:H86"/>
    <mergeCell ref="X119:AB119"/>
    <mergeCell ref="AD119:AH119"/>
    <mergeCell ref="C85:R85"/>
    <mergeCell ref="J86:N86"/>
    <mergeCell ref="D3:H3"/>
    <mergeCell ref="B2:R2"/>
    <mergeCell ref="X3:AB3"/>
    <mergeCell ref="AC3:AG3"/>
    <mergeCell ref="J3:N3"/>
    <mergeCell ref="O3:R3"/>
    <mergeCell ref="V2:AK2"/>
    <mergeCell ref="AH3:AK3"/>
  </mergeCells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0EFEE0602AB874D9A4AFE8BDC64C624" ma:contentTypeVersion="" ma:contentTypeDescription="Create a new document." ma:contentTypeScope="" ma:versionID="7ea682b9f557275b240fb125ed8796ec">
  <xsd:schema xmlns:xsd="http://www.w3.org/2001/XMLSchema" xmlns:xs="http://www.w3.org/2001/XMLSchema" xmlns:p="http://schemas.microsoft.com/office/2006/metadata/properties" xmlns:ns2="dd9babf7-33ac-42c8-ac33-fbd7486fd206" xmlns:ns3="7ff1a7c9-d7df-4be8-bc28-0a0e94fbf901" targetNamespace="http://schemas.microsoft.com/office/2006/metadata/properties" ma:root="true" ma:fieldsID="657c839a1bc7fa6fa5d300a0929ad6b3" ns2:_="" ns3:_="">
    <xsd:import namespace="dd9babf7-33ac-42c8-ac33-fbd7486fd206"/>
    <xsd:import namespace="7ff1a7c9-d7df-4be8-bc28-0a0e94fbf9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9babf7-33ac-42c8-ac33-fbd7486fd2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1a7c9-d7df-4be8-bc28-0a0e94fbf9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517787A-B747-4EBA-91AE-225F28D1FA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05A42BF-574C-4534-A071-95F6D7CE4E75}">
  <ds:schemaRefs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dcmitype/"/>
    <ds:schemaRef ds:uri="dd9babf7-33ac-42c8-ac33-fbd7486fd206"/>
    <ds:schemaRef ds:uri="http://purl.org/dc/elements/1.1/"/>
    <ds:schemaRef ds:uri="7ff1a7c9-d7df-4be8-bc28-0a0e94fbf901"/>
    <ds:schemaRef ds:uri="http://purl.org/dc/terms/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B4663AC5-64C1-4D7B-94B3-928BC9E151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9babf7-33ac-42c8-ac33-fbd7486fd206"/>
    <ds:schemaRef ds:uri="7ff1a7c9-d7df-4be8-bc28-0a0e94fbf9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_Control_</vt:lpstr>
      <vt:lpstr>Segment Diagnostics2</vt:lpstr>
      <vt:lpstr>Ancor</vt:lpstr>
      <vt:lpstr>DBName</vt:lpstr>
      <vt:lpstr>_Control_!Print_Area</vt:lpstr>
      <vt:lpstr>QUICK_MODE</vt:lpstr>
      <vt:lpstr>SQLServerName</vt:lpstr>
      <vt:lpstr>WB_Name</vt:lpstr>
    </vt:vector>
  </TitlesOfParts>
  <Company>Amazon.com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Hitesh.chawla</dc:creator>
  <cp:lastModifiedBy>Prabin Raj Shrestha</cp:lastModifiedBy>
  <dcterms:created xsi:type="dcterms:W3CDTF">2020-05-02T11:27:31Z</dcterms:created>
  <dcterms:modified xsi:type="dcterms:W3CDTF">2021-09-03T11:20:13Z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0x01010050EFEE0602AB874D9A4AFE8BDC64C624</vt:lpwstr>
  </property>
</Properties>
</file>